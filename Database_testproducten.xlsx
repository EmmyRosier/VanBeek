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an.mulder\Desktop\"/>
    </mc:Choice>
  </mc:AlternateContent>
  <xr:revisionPtr revIDLastSave="0" documentId="8_{66488942-329D-4D62-81D9-383D29FCF1A7}" xr6:coauthVersionLast="47" xr6:coauthVersionMax="47" xr10:uidLastSave="{00000000-0000-0000-0000-000000000000}"/>
  <bookViews>
    <workbookView xWindow="-110" yWindow="-110" windowWidth="38620" windowHeight="21100" xr2:uid="{B55DA9E0-4D55-453C-B564-2EB3634A4DB6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Blad1!$A$1:$T$322</definedName>
    <definedName name="_xlnm.Print_Area" localSheetId="1">Blad2!$A$1:$D$29</definedName>
    <definedName name="_xlnm.Print_Area" localSheetId="2">Blad3!$B$4:$U$38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D17" i="2"/>
  <c r="C17" i="2"/>
  <c r="B17" i="2"/>
  <c r="B12" i="2"/>
  <c r="B4" i="2"/>
</calcChain>
</file>

<file path=xl/sharedStrings.xml><?xml version="1.0" encoding="utf-8"?>
<sst xmlns="http://schemas.openxmlformats.org/spreadsheetml/2006/main" count="1431" uniqueCount="354">
  <si>
    <t>Order</t>
  </si>
  <si>
    <t>Klant</t>
  </si>
  <si>
    <t>Datum</t>
  </si>
  <si>
    <t>Product</t>
  </si>
  <si>
    <t>Productnaam</t>
  </si>
  <si>
    <t>Aggregatietoestand</t>
  </si>
  <si>
    <t>Foto's</t>
  </si>
  <si>
    <t>Filmpjes</t>
  </si>
  <si>
    <t>Rapport</t>
  </si>
  <si>
    <t>Stortgewicht</t>
  </si>
  <si>
    <t>Vochtpercentage</t>
  </si>
  <si>
    <t>Storthoek</t>
  </si>
  <si>
    <t>Afschuifhoek</t>
  </si>
  <si>
    <t>Vorm storthoek</t>
  </si>
  <si>
    <t>Test</t>
  </si>
  <si>
    <t>Opmerking</t>
  </si>
  <si>
    <t>AZO N.V. (Antwerpen)</t>
  </si>
  <si>
    <t>Alba-fibre W-50</t>
  </si>
  <si>
    <t>Sugarcane fibre SC200</t>
  </si>
  <si>
    <t>Cellulose vezel</t>
  </si>
  <si>
    <t>Kleur</t>
  </si>
  <si>
    <t>Suikerriet vezel</t>
  </si>
  <si>
    <t>Poeder</t>
  </si>
  <si>
    <t>Wit</t>
  </si>
  <si>
    <t>Ja</t>
  </si>
  <si>
    <t>Nee</t>
  </si>
  <si>
    <t xml:space="preserve">Capaciteitstest doseerder </t>
  </si>
  <si>
    <t>nvt</t>
  </si>
  <si>
    <t>Feedmachinery (Lichtervelde)</t>
  </si>
  <si>
    <t>Soja koek</t>
  </si>
  <si>
    <t>Soja schilfers</t>
  </si>
  <si>
    <t>Brokken</t>
  </si>
  <si>
    <t>Bruin</t>
  </si>
  <si>
    <t>Breker tot 20mm in BR300</t>
  </si>
  <si>
    <t>Roland Carlberg (Göteborg)</t>
  </si>
  <si>
    <t>Expancel</t>
  </si>
  <si>
    <t>PUR poeder</t>
  </si>
  <si>
    <t>Doseren in KR75</t>
  </si>
  <si>
    <t>Dings-Decor B.V. (Nuth)</t>
  </si>
  <si>
    <t>Crunch bronze</t>
  </si>
  <si>
    <t>Marsepein</t>
  </si>
  <si>
    <t>Granulaat</t>
  </si>
  <si>
    <t>Stortgewicht tbv offerte</t>
  </si>
  <si>
    <t>Zilveren decoratie stukjes</t>
  </si>
  <si>
    <t>Chocolade</t>
  </si>
  <si>
    <t>Bilfinger Tebodin Netherlands B.V. (Hengelo)</t>
  </si>
  <si>
    <t>PET</t>
  </si>
  <si>
    <t>Plastic flakes</t>
  </si>
  <si>
    <t>Flakes</t>
  </si>
  <si>
    <t>Mix</t>
  </si>
  <si>
    <t>Stof zout</t>
  </si>
  <si>
    <t>Zout</t>
  </si>
  <si>
    <t>˄</t>
  </si>
  <si>
    <t>Drilling zout</t>
  </si>
  <si>
    <t>∩</t>
  </si>
  <si>
    <t>Unknown</t>
  </si>
  <si>
    <t>Big-Bag 1</t>
  </si>
  <si>
    <t>Big-Bag 2</t>
  </si>
  <si>
    <t>Gerflor (Jongerius Technology NV (Kapellen))</t>
  </si>
  <si>
    <t>Zavhy (Veldhoven)</t>
  </si>
  <si>
    <t>Lightweight Aggregates</t>
  </si>
  <si>
    <t>Vulstof cement</t>
  </si>
  <si>
    <t>Grijs</t>
  </si>
  <si>
    <t>Materiaal test + duurtest hoogvuller 60°</t>
  </si>
  <si>
    <t>Stone Aggregates</t>
  </si>
  <si>
    <t>Steel fibres</t>
  </si>
  <si>
    <t>Vezels</t>
  </si>
  <si>
    <t>Niet te doseren (loopt vast)</t>
  </si>
  <si>
    <t>Microscoop</t>
  </si>
  <si>
    <t>Altenburger Maschinen Jäckering GmbH (Hamm)</t>
  </si>
  <si>
    <t>Casein</t>
  </si>
  <si>
    <t>Materiaal test + Doseren in KR75</t>
  </si>
  <si>
    <t>Quartz Aggregates</t>
  </si>
  <si>
    <t>Basalt Aggregates</t>
  </si>
  <si>
    <t>Polyporpylene fibres</t>
  </si>
  <si>
    <t>25mm steel chip fibres</t>
  </si>
  <si>
    <t>30mm steel chip fibres</t>
  </si>
  <si>
    <t>Zwart</t>
  </si>
  <si>
    <t>Geel</t>
  </si>
  <si>
    <t>Spiraal schroef gebruikt!</t>
  </si>
  <si>
    <t>Rhenus Port Logistics Rhein Neckar GmbH &amp; Co. KG (Mannheim)</t>
  </si>
  <si>
    <t>Kaolin</t>
  </si>
  <si>
    <t>Materiaal test</t>
  </si>
  <si>
    <t>Verdichtend</t>
  </si>
  <si>
    <t>Kleimineraal (aluminium-fylosilicaat)</t>
  </si>
  <si>
    <t>Caseïne eiwit</t>
  </si>
  <si>
    <t>Rendac Son B.V. (Son en Breugel)</t>
  </si>
  <si>
    <t>Bloedmeel</t>
  </si>
  <si>
    <t>Offerte</t>
  </si>
  <si>
    <t>Stofmeel</t>
  </si>
  <si>
    <t>Kalk korrels</t>
  </si>
  <si>
    <t>Hengelo Salt Specialities (Hengelo)</t>
  </si>
  <si>
    <t>Tripette &amp; Renaud (Asnières sur Seine cedex)</t>
  </si>
  <si>
    <t>Bidon Fritom B.V. (Bolsward)</t>
  </si>
  <si>
    <t>Lysine</t>
  </si>
  <si>
    <t>MCP</t>
  </si>
  <si>
    <t>Threonine</t>
  </si>
  <si>
    <t>α-aminozuur voor eiwitsynthese</t>
  </si>
  <si>
    <t xml:space="preserve">Monocalciumfosfaat </t>
  </si>
  <si>
    <t>Materiaal test voor offerte</t>
  </si>
  <si>
    <t>Nr.</t>
  </si>
  <si>
    <t>Jongerius Technology NV (Kapellen)</t>
  </si>
  <si>
    <t>Recycled Tire Rubber - MTR</t>
  </si>
  <si>
    <t>(Gevulkaniseerd) rubber poeder</t>
  </si>
  <si>
    <t>Gedraagt zich als water</t>
  </si>
  <si>
    <t>PA</t>
  </si>
  <si>
    <t>—</t>
  </si>
  <si>
    <t>Polyamide bruin</t>
  </si>
  <si>
    <t>Polybutyleentereftalaat</t>
  </si>
  <si>
    <t>PBT</t>
  </si>
  <si>
    <t>Polycarbonaat mahlgut</t>
  </si>
  <si>
    <t>PC</t>
  </si>
  <si>
    <t>Anders</t>
  </si>
  <si>
    <t>Polycabonaat</t>
  </si>
  <si>
    <t>Statisch</t>
  </si>
  <si>
    <t>stoffig</t>
  </si>
  <si>
    <t>Acrylonitril-butadieen-styreen</t>
  </si>
  <si>
    <t>ABS</t>
  </si>
  <si>
    <t>Almaak International GmbH (Doberlug-Kirchhain)</t>
  </si>
  <si>
    <t>Lactose powder (AN001)</t>
  </si>
  <si>
    <t>AN001</t>
  </si>
  <si>
    <t>Nestlé Nespresso S.A. (Vevey)</t>
  </si>
  <si>
    <t>Gemalen koffie bonen</t>
  </si>
  <si>
    <t>Grounded Coffee</t>
  </si>
  <si>
    <t>Materiaal test voor FAT-test</t>
  </si>
  <si>
    <t>Friesland Campina DMV B.V. (Veghel)</t>
  </si>
  <si>
    <t>Sonac Versmold GmbH (Versmold)</t>
  </si>
  <si>
    <t>Protein flour (feed)</t>
  </si>
  <si>
    <t>Proteine</t>
  </si>
  <si>
    <t>Zitten flakes in van 20-22 mm (zie rapport)</t>
  </si>
  <si>
    <t>Iron(II)sulfate heptahydrate</t>
  </si>
  <si>
    <t>Getest door</t>
  </si>
  <si>
    <t>Amandelmeel</t>
  </si>
  <si>
    <t>Allruna W50 S 491/1 LM Leuchtgruen</t>
  </si>
  <si>
    <t>Thermoplastic elastomer compound</t>
  </si>
  <si>
    <t>Groen</t>
  </si>
  <si>
    <t xml:space="preserve">Zacht granulaat gummi-achtig, lijkt statisch of plakkend </t>
  </si>
  <si>
    <t>Grijs met groene oxidatie</t>
  </si>
  <si>
    <t>Nat'poeder (vormt brokken), beetje gummie-achtig</t>
  </si>
  <si>
    <t>DM</t>
  </si>
  <si>
    <t>MVM/DM</t>
  </si>
  <si>
    <t>MVM</t>
  </si>
  <si>
    <t>Gestora Catalana de Residuos (La Bisbal del Penedès)</t>
  </si>
  <si>
    <t>Allod Werkstoff GmbH &amp; Co Kg. (Burgbernheim)</t>
  </si>
  <si>
    <t>Markelbach &amp; Corne (Wilrijk)</t>
  </si>
  <si>
    <t>Amandelmeel mengsel</t>
  </si>
  <si>
    <t>Katalysator</t>
  </si>
  <si>
    <t>Bepalen gegevens DEMCON project</t>
  </si>
  <si>
    <t>Gedruppeld granulaat ipv geknipt</t>
  </si>
  <si>
    <t>Aamec nv (Genk)</t>
  </si>
  <si>
    <t>Molsic Adsorbents 4A</t>
  </si>
  <si>
    <t>Absorptie korrels</t>
  </si>
  <si>
    <t>Knikker</t>
  </si>
  <si>
    <t>Platina op Alumina</t>
  </si>
  <si>
    <t>Deoxo MS2 Catalyst</t>
  </si>
  <si>
    <t>Denstone</t>
  </si>
  <si>
    <t>Keramische knikkers</t>
  </si>
  <si>
    <t>Ciclic-15</t>
  </si>
  <si>
    <t>Recycled kunststof (HDPE/LDPE)</t>
  </si>
  <si>
    <t>Ronde gladde korrels van 2-5mm</t>
  </si>
  <si>
    <t>Thermische reactie bij contact met water!! -&gt; MSDS</t>
  </si>
  <si>
    <t>Dohmeyer N.V. (Gent)</t>
  </si>
  <si>
    <t>Koelen met stikstof deken</t>
  </si>
  <si>
    <t>Unknown 0.8mm</t>
  </si>
  <si>
    <t>Unknown 2-5mm</t>
  </si>
  <si>
    <t>Haas - Mondomix B.V. (Almere)</t>
  </si>
  <si>
    <t>Hazelnoot poeder</t>
  </si>
  <si>
    <t>Titan Salt B.V.</t>
  </si>
  <si>
    <t>Natrium Chloride</t>
  </si>
  <si>
    <t>Duurtest met zout</t>
  </si>
  <si>
    <t>Zeefrapport beschikbaar</t>
  </si>
  <si>
    <t>Katoen Natie (Antwerpen)</t>
  </si>
  <si>
    <t>Polyethylene Terephthalate</t>
  </si>
  <si>
    <t>OXYVINYLS® PVC powder</t>
  </si>
  <si>
    <t>PVC</t>
  </si>
  <si>
    <t>Dieffenbacher Panelboard Oy (Nastola)</t>
  </si>
  <si>
    <t>Harnstoff</t>
  </si>
  <si>
    <t>Ureum</t>
  </si>
  <si>
    <t>Bruggend product!</t>
  </si>
  <si>
    <t>Niverplast</t>
  </si>
  <si>
    <t>SiO2</t>
  </si>
  <si>
    <t>Filter powder</t>
  </si>
  <si>
    <t>MvM</t>
  </si>
  <si>
    <t>Beconeo GmbH (Leoben-Niklasdorf)</t>
  </si>
  <si>
    <t>Magnesit 5-10 mm</t>
  </si>
  <si>
    <t>Magnesit 0-1 mm</t>
  </si>
  <si>
    <t>Magnesit 1-3 mm</t>
  </si>
  <si>
    <t>split/ steen  5-10 mm</t>
  </si>
  <si>
    <t>split/ steen  1-3 mm</t>
  </si>
  <si>
    <t>split/ steen  0-1 mm</t>
  </si>
  <si>
    <t>Aluminium Oxide</t>
  </si>
  <si>
    <t>Almatis</t>
  </si>
  <si>
    <t>Klei</t>
  </si>
  <si>
    <t>poeder klei</t>
  </si>
  <si>
    <t>Leem</t>
  </si>
  <si>
    <t>poeder leem</t>
  </si>
  <si>
    <t>BC Materials</t>
  </si>
  <si>
    <t>Gilox</t>
  </si>
  <si>
    <t>Niocel</t>
  </si>
  <si>
    <t>CLARCEL DIC3</t>
  </si>
  <si>
    <t>Actived calcined diatomaceous earth.</t>
  </si>
  <si>
    <t>CLARCEL DIC</t>
  </si>
  <si>
    <t>1 % silicium</t>
  </si>
  <si>
    <t xml:space="preserve">10% silicium GEVAARLIJK! </t>
  </si>
  <si>
    <t>Worley</t>
  </si>
  <si>
    <t>Thiopaq Sulphur</t>
  </si>
  <si>
    <t>Biologically produced elemental Sulphur originating from
biogas or natural gas</t>
  </si>
  <si>
    <t>MSDS Check</t>
  </si>
  <si>
    <t>ATEX, bijtend</t>
  </si>
  <si>
    <t>R&amp;D 2023</t>
  </si>
  <si>
    <t>Klanttesten</t>
  </si>
  <si>
    <t>totaal</t>
  </si>
  <si>
    <t>Intern</t>
  </si>
  <si>
    <t>Extern</t>
  </si>
  <si>
    <t>intern</t>
  </si>
  <si>
    <t>extern</t>
  </si>
  <si>
    <t>Materiaal testen</t>
  </si>
  <si>
    <t>offerte</t>
  </si>
  <si>
    <t>Type materiaal</t>
  </si>
  <si>
    <t>MSDS beoordeeld</t>
  </si>
  <si>
    <t>Toegestaan</t>
  </si>
  <si>
    <t>Afgewezen</t>
  </si>
  <si>
    <t>Beursbezoek</t>
  </si>
  <si>
    <t>Van Beek aanwezig</t>
  </si>
  <si>
    <t>Van Beek niet aanwezig</t>
  </si>
  <si>
    <t>Interpack, Dusseldorf</t>
  </si>
  <si>
    <t>Plastic recycling show, Amsterdam</t>
  </si>
  <si>
    <t>E&amp;A beurs, Utrecht</t>
  </si>
  <si>
    <t>Solids, Rotterdam</t>
  </si>
  <si>
    <t>Industrial heat, den bosch</t>
  </si>
  <si>
    <t>Pasta</t>
  </si>
  <si>
    <t>De Gouwe BV (Goude)</t>
  </si>
  <si>
    <t>Patato Fries Clearcoat Crunchy PI V2</t>
  </si>
  <si>
    <t>batter powder (zetmeel)</t>
  </si>
  <si>
    <t>Materiaal voor test</t>
  </si>
  <si>
    <t>Buhler</t>
  </si>
  <si>
    <t>Hazelnoot</t>
  </si>
  <si>
    <t>Hazelnoot (heel)</t>
  </si>
  <si>
    <t>Zonnebloem zaden</t>
  </si>
  <si>
    <t>Gepofte rijst</t>
  </si>
  <si>
    <t>Notenmix</t>
  </si>
  <si>
    <t>Amandel, cashew pompoenpit</t>
  </si>
  <si>
    <t>gerolde haver</t>
  </si>
  <si>
    <t>hele haver</t>
  </si>
  <si>
    <t>melk poeder</t>
  </si>
  <si>
    <t>skimmed milk powder</t>
  </si>
  <si>
    <t>Bloem</t>
  </si>
  <si>
    <t>Farin</t>
  </si>
  <si>
    <t>tarwe flakes</t>
  </si>
  <si>
    <t>Trans Jaylo S.A.</t>
  </si>
  <si>
    <t>Cationic Starch</t>
  </si>
  <si>
    <t>zetmeel</t>
  </si>
  <si>
    <t>Corn Starch</t>
  </si>
  <si>
    <t>mais zetmeel</t>
  </si>
  <si>
    <t>Everris International B.V. (Heerlen)</t>
  </si>
  <si>
    <t>Talk</t>
  </si>
  <si>
    <t>Test in opvoerschroef</t>
  </si>
  <si>
    <t>Oostvogels Logistics BV (Breda)</t>
  </si>
  <si>
    <t>Glycine</t>
  </si>
  <si>
    <t>Aminoacetic Acid</t>
  </si>
  <si>
    <t>Breker op dino</t>
  </si>
  <si>
    <t>Non-Ferro Recovery Company b.v. (Brakel)</t>
  </si>
  <si>
    <t>bodem as</t>
  </si>
  <si>
    <t>13,28%</t>
  </si>
  <si>
    <t>Drogen/ verwamen CRW 200 Speedclean</t>
  </si>
  <si>
    <t>Purmetall GmbH (Oberhausen)</t>
  </si>
  <si>
    <t>TAB-Alu 3-6</t>
  </si>
  <si>
    <t>Reparit GUN 010</t>
  </si>
  <si>
    <t>Repafix 00130</t>
  </si>
  <si>
    <t>Repafix 00131</t>
  </si>
  <si>
    <t>Schiebersand C330</t>
  </si>
  <si>
    <t xml:space="preserve">Schiebersand C330 </t>
  </si>
  <si>
    <t>TAB ALU 03</t>
  </si>
  <si>
    <t>C.B.M. NV (Gent)</t>
  </si>
  <si>
    <t>Pet cokes</t>
  </si>
  <si>
    <t>gecalcineerde petroleum cokes</t>
  </si>
  <si>
    <t>Seek Logistic Solutions (Den Hout)</t>
  </si>
  <si>
    <t>Ook zeefrapport aanwezig</t>
  </si>
  <si>
    <t>MVM DM</t>
  </si>
  <si>
    <t>Emsland-Stärke GmbH (Emlichheim)</t>
  </si>
  <si>
    <t>Kartiffeleiweiß</t>
  </si>
  <si>
    <t>Aardappeleiwit</t>
  </si>
  <si>
    <t>Rene Schonefeld OG BV</t>
  </si>
  <si>
    <t>oli banum gum</t>
  </si>
  <si>
    <t xml:space="preserve">oli banum gum </t>
  </si>
  <si>
    <t>Wierook blokken (hars) granulaat</t>
  </si>
  <si>
    <t>Wierook blokken (hars) hard blok</t>
  </si>
  <si>
    <t>Breker test 4, grid 10, 50 rpm</t>
  </si>
  <si>
    <t>Breker test 1, grid 20, 20 rpm</t>
  </si>
  <si>
    <t>Evonik Degussa Antwerpen N.V. (Antwerpen)</t>
  </si>
  <si>
    <t>MetAMINO</t>
  </si>
  <si>
    <t>DL-Methionine, Feed grade 99%</t>
  </si>
  <si>
    <t>CuRe Invest B.V. (Emmen)</t>
  </si>
  <si>
    <t>Bottle flakes</t>
  </si>
  <si>
    <t>Textile Agglomerate</t>
  </si>
  <si>
    <t>Tray Flakes 1</t>
  </si>
  <si>
    <t>Tray flakes 2</t>
  </si>
  <si>
    <t>recycle PET</t>
  </si>
  <si>
    <t>recycle textiel  pellets</t>
  </si>
  <si>
    <t>DL Packaging BV (Oosterhout)</t>
  </si>
  <si>
    <t>Almond protein</t>
  </si>
  <si>
    <t>Amandel proteine</t>
  </si>
  <si>
    <t>Infre SA</t>
  </si>
  <si>
    <t>Black Tea</t>
  </si>
  <si>
    <t>zwarte thee poeder</t>
  </si>
  <si>
    <t>JAVO Procestechniek BV (Waddinxveen)</t>
  </si>
  <si>
    <t>Bier borstel eiwit</t>
  </si>
  <si>
    <t>bier borstel eiwit</t>
  </si>
  <si>
    <t>Evonik Degussa Antwerpen N.V.</t>
  </si>
  <si>
    <t>amino zuur poeder</t>
  </si>
  <si>
    <t>Treatex NV (Genk)</t>
  </si>
  <si>
    <t>Aluminium oxide</t>
  </si>
  <si>
    <t>Opvoeren in hoogvuller OR150</t>
  </si>
  <si>
    <t>Zeer fijn poeder</t>
  </si>
  <si>
    <t>James Durrans GmbH (Willich)</t>
  </si>
  <si>
    <t>METALLURGICAL COKE (GRANULAR)</t>
  </si>
  <si>
    <t>Kolen</t>
  </si>
  <si>
    <t xml:space="preserve">Materiaal test voor offerte </t>
  </si>
  <si>
    <t>Stoffig</t>
  </si>
  <si>
    <t>Foronex Wielsbeke (Wielsbeke)</t>
  </si>
  <si>
    <t>Houtstof</t>
  </si>
  <si>
    <t>Houtstof 1 (lichter)</t>
  </si>
  <si>
    <t>Houtstof 2 (donkerder)</t>
  </si>
  <si>
    <t>Stoffig, inklinkend, bruggend</t>
  </si>
  <si>
    <t>SP DM</t>
  </si>
  <si>
    <t>Rift Development b.v. (Nuenen)</t>
  </si>
  <si>
    <t>Ijzerpoeder</t>
  </si>
  <si>
    <t>Test met doseerschroef Penko</t>
  </si>
  <si>
    <t>Erg zwaar en heel fijn!</t>
  </si>
  <si>
    <t>GPI (Clarebout)</t>
  </si>
  <si>
    <t>Batterpoeder Rood</t>
  </si>
  <si>
    <t>Batterpoeder Geel</t>
  </si>
  <si>
    <t>Batterpoeder</t>
  </si>
  <si>
    <t>Rood</t>
  </si>
  <si>
    <t>Planet A Foods. GmbH (Planegg)</t>
  </si>
  <si>
    <t>Zonnebloem pitten bloem</t>
  </si>
  <si>
    <t>Zonnebloem pitten bloem (gedroogd)</t>
  </si>
  <si>
    <t>Druiven pitten bloem</t>
  </si>
  <si>
    <t>Materiaaltest voor offerte</t>
  </si>
  <si>
    <t>Drogen/verwarmen met CWR 200 Volta</t>
  </si>
  <si>
    <t>Sunflower protein</t>
  </si>
  <si>
    <t>Sunflower protein (dried)</t>
  </si>
  <si>
    <t>Bio grape seed flour</t>
  </si>
  <si>
    <t>Dutch Dripping Products</t>
  </si>
  <si>
    <t>Geshredderd blik</t>
  </si>
  <si>
    <t>blik</t>
  </si>
  <si>
    <t>Kurkuma</t>
  </si>
  <si>
    <t>kurkuma</t>
  </si>
  <si>
    <t>Oranje</t>
  </si>
  <si>
    <t>GPI</t>
  </si>
  <si>
    <t>Sostmeier Logistics Gmbh</t>
  </si>
  <si>
    <t>Celite</t>
  </si>
  <si>
    <t>Diatomeeënaarde</t>
  </si>
  <si>
    <t>Bruggend product maar loopt als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</si>
</sst>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3]dd/mmm/yyyy;@"/>
    <numFmt numFmtId="165" formatCode="0.0\ &quot;kg/m3&quot;"/>
    <numFmt numFmtId="166" formatCode="0.0\ &quot;°&quot;"/>
    <numFmt numFmtId="167" formatCode="0\ &quot;kg/m3&quot;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0000"/>
      <name val="Helvetica-Bold"/>
    </font>
    <font>
      <sz val="10"/>
      <color rgb="FF000000"/>
      <name val="ArialMT"/>
    </font>
    <font>
      <sz val="11"/>
      <color rgb="FF000000"/>
      <name val="ArialMT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/>
    <xf numFmtId="164" fontId="0" fillId="0" borderId="0" xfId="0" applyNumberFormat="1"/>
    <xf numFmtId="10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0" xfId="0" applyNumberFormat="1"/>
    <xf numFmtId="0" fontId="2" fillId="0" borderId="0" xfId="1" applyAlignment="1">
      <alignment horizontal="left"/>
    </xf>
    <xf numFmtId="0" fontId="0" fillId="0" borderId="0" xfId="0" quotePrefix="1"/>
    <xf numFmtId="0" fontId="1" fillId="2" borderId="0" xfId="0" applyFont="1" applyFill="1"/>
    <xf numFmtId="164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Materiaal testen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2630740740740741E-2"/>
          <c:y val="0.24005000000000001"/>
          <c:w val="0.7099805555555555"/>
          <c:h val="0.6540966666666666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C87-42ED-A783-FB3636B5CD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C87-42ED-A783-FB3636B5CD3E}"/>
              </c:ext>
            </c:extLst>
          </c:dPt>
          <c:dLbls>
            <c:dLbl>
              <c:idx val="0"/>
              <c:layout>
                <c:manualLayout>
                  <c:x val="7.761111111111102E-2"/>
                  <c:y val="-6.11481481481481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87-42ED-A783-FB3636B5CD3E}"/>
                </c:ext>
              </c:extLst>
            </c:dLbl>
            <c:dLbl>
              <c:idx val="1"/>
              <c:layout>
                <c:manualLayout>
                  <c:x val="-4.4685185185185196E-2"/>
                  <c:y val="4.23333333333333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87-42ED-A783-FB3636B5CD3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Blad2!$C$7:$D$7</c:f>
              <c:strCache>
                <c:ptCount val="2"/>
                <c:pt idx="0">
                  <c:v>Offerte</c:v>
                </c:pt>
                <c:pt idx="1">
                  <c:v>Order</c:v>
                </c:pt>
              </c:strCache>
            </c:strRef>
          </c:cat>
          <c:val>
            <c:numRef>
              <c:f>Blad2!$C$8:$D$8</c:f>
              <c:numCache>
                <c:formatCode>General</c:formatCode>
                <c:ptCount val="2"/>
                <c:pt idx="0">
                  <c:v>18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87-42ED-A783-FB3636B5C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MSDS beoordeeld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C-9A00-454E-A387-31AFB7BD5B5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A00-454E-A387-31AFB7BD5B58}"/>
              </c:ext>
            </c:extLst>
          </c:dPt>
          <c:cat>
            <c:strLit>
              <c:ptCount val="2"/>
              <c:pt idx="0">
                <c:v>Intern 3</c:v>
              </c:pt>
              <c:pt idx="1">
                <c:v>Extern 5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B-9A00-454E-A387-31AFB7BD5B58}"/>
            </c:ext>
          </c:extLst>
        </c:ser>
        <c:ser>
          <c:idx val="0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A00-454E-A387-31AFB7BD5B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A00-454E-A387-31AFB7BD5B5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Lit>
              <c:ptCount val="2"/>
              <c:pt idx="0">
                <c:v>Toegestaan 20</c:v>
              </c:pt>
              <c:pt idx="1">
                <c:v>Afgewezen 3</c:v>
              </c:pt>
            </c:strLit>
          </c:cat>
          <c:val>
            <c:numLit>
              <c:formatCode>General</c:formatCode>
              <c:ptCount val="2"/>
              <c:pt idx="0">
                <c:v>20</c:v>
              </c:pt>
              <c:pt idx="1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A-9A00-454E-A387-31AFB7BD5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Klant testen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95F-4E91-8F6F-6965E983C5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95F-4E91-8F6F-6965E983C5C9}"/>
              </c:ext>
            </c:extLst>
          </c:dPt>
          <c:dLbls>
            <c:dLbl>
              <c:idx val="0"/>
              <c:layout>
                <c:manualLayout>
                  <c:x val="6.1148148148148063E-2"/>
                  <c:y val="-5.1740740740740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5F-4E91-8F6F-6965E983C5C9}"/>
                </c:ext>
              </c:extLst>
            </c:dLbl>
            <c:dLbl>
              <c:idx val="1"/>
              <c:layout>
                <c:manualLayout>
                  <c:x val="-2.3518518518518529E-2"/>
                  <c:y val="7.05555555555554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5F-4E91-8F6F-6965E983C5C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Intern 3</c:v>
              </c:pt>
              <c:pt idx="1">
                <c:v>Extern 5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4-695F-4E91-8F6F-6965E983C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Beursbezoek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05B-4973-ACE9-5FF7DE18C2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05B-4973-ACE9-5FF7DE18C29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{}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05B-4973-ACE9-5FF7DE18C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387350</xdr:colOff>
      <xdr:row>4</xdr:row>
      <xdr:rowOff>6350</xdr:rowOff>
    </xdr:from>
    <xdr:to>
      <xdr:col>10</xdr:col>
      <xdr:colOff>304760</xdr:colOff>
      <xdr:row>18</xdr:row>
      <xdr:rowOff>129520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3E26C7FE-4F6E-4B9C-977D-B32B9787B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394970</xdr:colOff>
      <xdr:row>21</xdr:row>
      <xdr:rowOff>137160</xdr:rowOff>
    </xdr:from>
    <xdr:to>
      <xdr:col>10</xdr:col>
      <xdr:colOff>314920</xdr:colOff>
      <xdr:row>36</xdr:row>
      <xdr:rowOff>81260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BCE891C4-2870-4076-A437-79D53423C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546100</xdr:colOff>
      <xdr:row>4</xdr:row>
      <xdr:rowOff>38100</xdr:rowOff>
    </xdr:from>
    <xdr:to>
      <xdr:col>20</xdr:col>
      <xdr:colOff>464780</xdr:colOff>
      <xdr:row>18</xdr:row>
      <xdr:rowOff>161270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B76A67E6-28EF-44A3-AAA2-FDD679CAA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596900</xdr:colOff>
      <xdr:row>21</xdr:row>
      <xdr:rowOff>177800</xdr:rowOff>
    </xdr:from>
    <xdr:to>
      <xdr:col>20</xdr:col>
      <xdr:colOff>516753</xdr:colOff>
      <xdr:row>36</xdr:row>
      <xdr:rowOff>137530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F081EAFE-1893-4D91-9FAC-E8D7B3EE6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pionus://Q_720702/" TargetMode="External"/><Relationship Id="rId21" Type="http://schemas.openxmlformats.org/officeDocument/2006/relationships/hyperlink" Target="pionus://Q_720184/" TargetMode="External"/><Relationship Id="rId42" Type="http://schemas.openxmlformats.org/officeDocument/2006/relationships/hyperlink" Target="pionus://Q_721553/" TargetMode="External"/><Relationship Id="rId47" Type="http://schemas.openxmlformats.org/officeDocument/2006/relationships/hyperlink" Target="pionus://Q_730723/" TargetMode="External"/><Relationship Id="rId63" Type="http://schemas.openxmlformats.org/officeDocument/2006/relationships/hyperlink" Target="pionus://O_831250/" TargetMode="External"/><Relationship Id="rId68" Type="http://schemas.openxmlformats.org/officeDocument/2006/relationships/hyperlink" Target="pionus://Q_732136/" TargetMode="External"/><Relationship Id="rId84" Type="http://schemas.openxmlformats.org/officeDocument/2006/relationships/hyperlink" Target="file:///\\mi.van-beek.nl\pudmwriteaccess\741416" TargetMode="External"/><Relationship Id="rId89" Type="http://schemas.openxmlformats.org/officeDocument/2006/relationships/hyperlink" Target="pionus://O_850488/" TargetMode="External"/><Relationship Id="rId16" Type="http://schemas.openxmlformats.org/officeDocument/2006/relationships/hyperlink" Target="pionus://O_810937/" TargetMode="External"/><Relationship Id="rId11" Type="http://schemas.openxmlformats.org/officeDocument/2006/relationships/hyperlink" Target="pionus://Q_720659/" TargetMode="External"/><Relationship Id="rId32" Type="http://schemas.openxmlformats.org/officeDocument/2006/relationships/hyperlink" Target="pionus://Q_721398/" TargetMode="External"/><Relationship Id="rId37" Type="http://schemas.openxmlformats.org/officeDocument/2006/relationships/hyperlink" Target="pionus://Q_720917/" TargetMode="External"/><Relationship Id="rId53" Type="http://schemas.openxmlformats.org/officeDocument/2006/relationships/hyperlink" Target="pionus://Q_730723/" TargetMode="External"/><Relationship Id="rId58" Type="http://schemas.openxmlformats.org/officeDocument/2006/relationships/hyperlink" Target="pionus://O_831250/" TargetMode="External"/><Relationship Id="rId74" Type="http://schemas.openxmlformats.org/officeDocument/2006/relationships/hyperlink" Target="pionus://O_840587/" TargetMode="External"/><Relationship Id="rId79" Type="http://schemas.openxmlformats.org/officeDocument/2006/relationships/hyperlink" Target="pionus://Q_741113/" TargetMode="External"/><Relationship Id="rId5" Type="http://schemas.openxmlformats.org/officeDocument/2006/relationships/hyperlink" Target="pionus://O_820132/" TargetMode="External"/><Relationship Id="rId90" Type="http://schemas.openxmlformats.org/officeDocument/2006/relationships/hyperlink" Target="file:///\\mi.van-beek.nl\pudmwriteaccess\751152" TargetMode="External"/><Relationship Id="rId95" Type="http://schemas.openxmlformats.org/officeDocument/2006/relationships/hyperlink" Target="file:///\\mi.van-beek.nl\pudmwriteaccess\751166" TargetMode="External"/><Relationship Id="rId22" Type="http://schemas.openxmlformats.org/officeDocument/2006/relationships/hyperlink" Target="pionus://Q_721153/" TargetMode="External"/><Relationship Id="rId27" Type="http://schemas.openxmlformats.org/officeDocument/2006/relationships/hyperlink" Target="pionus://Q_720702/" TargetMode="External"/><Relationship Id="rId43" Type="http://schemas.openxmlformats.org/officeDocument/2006/relationships/hyperlink" Target="pionus://Q_721553/" TargetMode="External"/><Relationship Id="rId48" Type="http://schemas.openxmlformats.org/officeDocument/2006/relationships/hyperlink" Target="pionus://Q_730723/" TargetMode="External"/><Relationship Id="rId64" Type="http://schemas.openxmlformats.org/officeDocument/2006/relationships/hyperlink" Target="pionus://O_831240/" TargetMode="External"/><Relationship Id="rId69" Type="http://schemas.openxmlformats.org/officeDocument/2006/relationships/hyperlink" Target="pionus://Q_732169/" TargetMode="External"/><Relationship Id="rId80" Type="http://schemas.openxmlformats.org/officeDocument/2006/relationships/hyperlink" Target="pionus://Q_741113/" TargetMode="External"/><Relationship Id="rId85" Type="http://schemas.openxmlformats.org/officeDocument/2006/relationships/hyperlink" Target="pionus://O_840384/" TargetMode="External"/><Relationship Id="rId3" Type="http://schemas.openxmlformats.org/officeDocument/2006/relationships/hyperlink" Target="pionus://O_810668/" TargetMode="External"/><Relationship Id="rId12" Type="http://schemas.openxmlformats.org/officeDocument/2006/relationships/hyperlink" Target="pionus://O_820564/" TargetMode="External"/><Relationship Id="rId17" Type="http://schemas.openxmlformats.org/officeDocument/2006/relationships/hyperlink" Target="pionus://O_810937/" TargetMode="External"/><Relationship Id="rId25" Type="http://schemas.openxmlformats.org/officeDocument/2006/relationships/hyperlink" Target="pionus://Q_712214/" TargetMode="External"/><Relationship Id="rId33" Type="http://schemas.openxmlformats.org/officeDocument/2006/relationships/hyperlink" Target="pionus://Q_722153/" TargetMode="External"/><Relationship Id="rId38" Type="http://schemas.openxmlformats.org/officeDocument/2006/relationships/hyperlink" Target="pionus://Q_720917/" TargetMode="External"/><Relationship Id="rId46" Type="http://schemas.openxmlformats.org/officeDocument/2006/relationships/hyperlink" Target="pionus://O_830621/" TargetMode="External"/><Relationship Id="rId59" Type="http://schemas.openxmlformats.org/officeDocument/2006/relationships/hyperlink" Target="pionus://O_831250/" TargetMode="External"/><Relationship Id="rId67" Type="http://schemas.openxmlformats.org/officeDocument/2006/relationships/hyperlink" Target="pionus://O_840110/" TargetMode="External"/><Relationship Id="rId20" Type="http://schemas.openxmlformats.org/officeDocument/2006/relationships/hyperlink" Target="pionus://Q_720184/" TargetMode="External"/><Relationship Id="rId41" Type="http://schemas.openxmlformats.org/officeDocument/2006/relationships/hyperlink" Target="pionus://Q_730174/" TargetMode="External"/><Relationship Id="rId54" Type="http://schemas.openxmlformats.org/officeDocument/2006/relationships/hyperlink" Target="pionus://Q_730678/" TargetMode="External"/><Relationship Id="rId62" Type="http://schemas.openxmlformats.org/officeDocument/2006/relationships/hyperlink" Target="pionus://O_831250/" TargetMode="External"/><Relationship Id="rId70" Type="http://schemas.openxmlformats.org/officeDocument/2006/relationships/hyperlink" Target="pionus://Q_732169/" TargetMode="External"/><Relationship Id="rId75" Type="http://schemas.openxmlformats.org/officeDocument/2006/relationships/hyperlink" Target="pionus://O_840587/" TargetMode="External"/><Relationship Id="rId83" Type="http://schemas.openxmlformats.org/officeDocument/2006/relationships/hyperlink" Target="file:///\\mi.van-beek.nl\pudmwriteaccess\741416" TargetMode="External"/><Relationship Id="rId88" Type="http://schemas.openxmlformats.org/officeDocument/2006/relationships/hyperlink" Target="pionus://Q_750087/" TargetMode="External"/><Relationship Id="rId91" Type="http://schemas.openxmlformats.org/officeDocument/2006/relationships/hyperlink" Target="file:///\\mi.van-beek.nl\pudmwriteaccess\751152" TargetMode="External"/><Relationship Id="rId96" Type="http://schemas.openxmlformats.org/officeDocument/2006/relationships/hyperlink" Target="file:///\\mi.van-beek.nl\pudmwriteaccess\751152" TargetMode="External"/><Relationship Id="rId1" Type="http://schemas.openxmlformats.org/officeDocument/2006/relationships/hyperlink" Target="pionus://O_820153/" TargetMode="External"/><Relationship Id="rId6" Type="http://schemas.openxmlformats.org/officeDocument/2006/relationships/hyperlink" Target="pionus://O_811335/" TargetMode="External"/><Relationship Id="rId15" Type="http://schemas.openxmlformats.org/officeDocument/2006/relationships/hyperlink" Target="pionus://O_820564/" TargetMode="External"/><Relationship Id="rId23" Type="http://schemas.openxmlformats.org/officeDocument/2006/relationships/hyperlink" Target="pionus://Q_721312/" TargetMode="External"/><Relationship Id="rId28" Type="http://schemas.openxmlformats.org/officeDocument/2006/relationships/hyperlink" Target="pionus://Q_721917/" TargetMode="External"/><Relationship Id="rId36" Type="http://schemas.openxmlformats.org/officeDocument/2006/relationships/hyperlink" Target="pionus://Q_720917/" TargetMode="External"/><Relationship Id="rId49" Type="http://schemas.openxmlformats.org/officeDocument/2006/relationships/hyperlink" Target="pionus://Q_730723/" TargetMode="External"/><Relationship Id="rId57" Type="http://schemas.openxmlformats.org/officeDocument/2006/relationships/hyperlink" Target="pionus://O_831066/" TargetMode="External"/><Relationship Id="rId10" Type="http://schemas.openxmlformats.org/officeDocument/2006/relationships/hyperlink" Target="pionus://Q_720659/" TargetMode="External"/><Relationship Id="rId31" Type="http://schemas.openxmlformats.org/officeDocument/2006/relationships/hyperlink" Target="pionus://Q_721398/" TargetMode="External"/><Relationship Id="rId44" Type="http://schemas.openxmlformats.org/officeDocument/2006/relationships/hyperlink" Target="pionus://Q_730638/" TargetMode="External"/><Relationship Id="rId52" Type="http://schemas.openxmlformats.org/officeDocument/2006/relationships/hyperlink" Target="pionus://Q_731296/" TargetMode="External"/><Relationship Id="rId60" Type="http://schemas.openxmlformats.org/officeDocument/2006/relationships/hyperlink" Target="pionus://O_831250/" TargetMode="External"/><Relationship Id="rId65" Type="http://schemas.openxmlformats.org/officeDocument/2006/relationships/hyperlink" Target="pionus://O_831240/" TargetMode="External"/><Relationship Id="rId73" Type="http://schemas.openxmlformats.org/officeDocument/2006/relationships/hyperlink" Target="pionus://Q_740870/" TargetMode="External"/><Relationship Id="rId78" Type="http://schemas.openxmlformats.org/officeDocument/2006/relationships/hyperlink" Target="pionus://Q_741113/" TargetMode="External"/><Relationship Id="rId81" Type="http://schemas.openxmlformats.org/officeDocument/2006/relationships/hyperlink" Target="pionus://Q_740659/" TargetMode="External"/><Relationship Id="rId86" Type="http://schemas.openxmlformats.org/officeDocument/2006/relationships/hyperlink" Target="pionus://Q_742386/" TargetMode="External"/><Relationship Id="rId94" Type="http://schemas.openxmlformats.org/officeDocument/2006/relationships/hyperlink" Target="pionus://O_850551/" TargetMode="External"/><Relationship Id="rId4" Type="http://schemas.openxmlformats.org/officeDocument/2006/relationships/hyperlink" Target="pionus://O_810668/" TargetMode="External"/><Relationship Id="rId9" Type="http://schemas.openxmlformats.org/officeDocument/2006/relationships/hyperlink" Target="pionus://Q_720455/" TargetMode="External"/><Relationship Id="rId13" Type="http://schemas.openxmlformats.org/officeDocument/2006/relationships/hyperlink" Target="pionus://O_820473/" TargetMode="External"/><Relationship Id="rId18" Type="http://schemas.openxmlformats.org/officeDocument/2006/relationships/hyperlink" Target="pionus://Q_720986/" TargetMode="External"/><Relationship Id="rId39" Type="http://schemas.openxmlformats.org/officeDocument/2006/relationships/hyperlink" Target="pionus://Q_722247/" TargetMode="External"/><Relationship Id="rId34" Type="http://schemas.openxmlformats.org/officeDocument/2006/relationships/hyperlink" Target="pionus://Q_722116/" TargetMode="External"/><Relationship Id="rId50" Type="http://schemas.openxmlformats.org/officeDocument/2006/relationships/hyperlink" Target="pionus://Q_731437/" TargetMode="External"/><Relationship Id="rId55" Type="http://schemas.openxmlformats.org/officeDocument/2006/relationships/hyperlink" Target="pionus://Q_730678/" TargetMode="External"/><Relationship Id="rId76" Type="http://schemas.openxmlformats.org/officeDocument/2006/relationships/hyperlink" Target="pionus://Q_741146/" TargetMode="External"/><Relationship Id="rId97" Type="http://schemas.openxmlformats.org/officeDocument/2006/relationships/hyperlink" Target="pionus://O_860066/" TargetMode="External"/><Relationship Id="rId7" Type="http://schemas.openxmlformats.org/officeDocument/2006/relationships/hyperlink" Target="pionus://Q_720271/" TargetMode="External"/><Relationship Id="rId71" Type="http://schemas.openxmlformats.org/officeDocument/2006/relationships/hyperlink" Target="pionus://O_831250/" TargetMode="External"/><Relationship Id="rId92" Type="http://schemas.openxmlformats.org/officeDocument/2006/relationships/hyperlink" Target="pionus://O_850551/" TargetMode="External"/><Relationship Id="rId2" Type="http://schemas.openxmlformats.org/officeDocument/2006/relationships/hyperlink" Target="pionus://O_820153/" TargetMode="External"/><Relationship Id="rId29" Type="http://schemas.openxmlformats.org/officeDocument/2006/relationships/hyperlink" Target="pionus://O_820297/" TargetMode="External"/><Relationship Id="rId24" Type="http://schemas.openxmlformats.org/officeDocument/2006/relationships/hyperlink" Target="pionus://Q_721312/" TargetMode="External"/><Relationship Id="rId40" Type="http://schemas.openxmlformats.org/officeDocument/2006/relationships/hyperlink" Target="pionus://Q_722247/" TargetMode="External"/><Relationship Id="rId45" Type="http://schemas.openxmlformats.org/officeDocument/2006/relationships/hyperlink" Target="pionus://O_821163/" TargetMode="External"/><Relationship Id="rId66" Type="http://schemas.openxmlformats.org/officeDocument/2006/relationships/hyperlink" Target="pionus://O_840215/" TargetMode="External"/><Relationship Id="rId87" Type="http://schemas.openxmlformats.org/officeDocument/2006/relationships/hyperlink" Target="pionus://Q_750087/" TargetMode="External"/><Relationship Id="rId61" Type="http://schemas.openxmlformats.org/officeDocument/2006/relationships/hyperlink" Target="pionus://O_831250/" TargetMode="External"/><Relationship Id="rId82" Type="http://schemas.openxmlformats.org/officeDocument/2006/relationships/hyperlink" Target="pionus://O_840769/" TargetMode="External"/><Relationship Id="rId19" Type="http://schemas.openxmlformats.org/officeDocument/2006/relationships/hyperlink" Target="pionus://Q_720100/" TargetMode="External"/><Relationship Id="rId14" Type="http://schemas.openxmlformats.org/officeDocument/2006/relationships/hyperlink" Target="pionus://O_820473/" TargetMode="External"/><Relationship Id="rId30" Type="http://schemas.openxmlformats.org/officeDocument/2006/relationships/hyperlink" Target="pionus://Q_721585/" TargetMode="External"/><Relationship Id="rId35" Type="http://schemas.openxmlformats.org/officeDocument/2006/relationships/hyperlink" Target="pionus://O_801043/" TargetMode="External"/><Relationship Id="rId56" Type="http://schemas.openxmlformats.org/officeDocument/2006/relationships/hyperlink" Target="pionus://O_830821/" TargetMode="External"/><Relationship Id="rId77" Type="http://schemas.openxmlformats.org/officeDocument/2006/relationships/hyperlink" Target="pionus://Q_741113/" TargetMode="External"/><Relationship Id="rId8" Type="http://schemas.openxmlformats.org/officeDocument/2006/relationships/hyperlink" Target="pionus://Q_720271/" TargetMode="External"/><Relationship Id="rId51" Type="http://schemas.openxmlformats.org/officeDocument/2006/relationships/hyperlink" Target="pionus://Q_731437/" TargetMode="External"/><Relationship Id="rId72" Type="http://schemas.openxmlformats.org/officeDocument/2006/relationships/hyperlink" Target="pionus://O_831250/" TargetMode="External"/><Relationship Id="rId93" Type="http://schemas.openxmlformats.org/officeDocument/2006/relationships/hyperlink" Target="pionus://O_850551/" TargetMode="External"/><Relationship Id="rId98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7AA-7B29-43B5-95A9-CE4EA2567111}">
  <dimension ref="A1:T557"/>
  <sheetViews>
    <sheetView tabSelected="1" zoomScale="85" zoomScaleNormal="85" workbookViewId="0">
      <pane ySplit="1" topLeftCell="A42" activePane="bottomLeft" state="frozen"/>
      <selection activeCell="C1" sqref="C1"/>
      <selection pane="bottomLeft" activeCell="C67" sqref="C67"/>
    </sheetView>
  </sheetViews>
  <sheetFormatPr defaultRowHeight="14.5"/>
  <cols>
    <col min="1" max="1" width="4.453125" customWidth="1"/>
    <col min="2" max="2" width="10.1796875" customWidth="1"/>
    <col min="3" max="3" width="53.81640625" customWidth="1"/>
    <col min="4" max="4" width="12.1796875" customWidth="1"/>
    <col min="5" max="5" width="34" customWidth="1"/>
    <col min="6" max="6" width="31.453125" customWidth="1"/>
    <col min="7" max="7" width="19.54296875" bestFit="1" customWidth="1"/>
    <col min="8" max="8" width="7.453125" bestFit="1" customWidth="1"/>
    <col min="9" max="9" width="8.1796875" bestFit="1" customWidth="1"/>
    <col min="10" max="10" width="12.81640625" bestFit="1" customWidth="1"/>
    <col min="11" max="11" width="10" bestFit="1" customWidth="1"/>
    <col min="12" max="12" width="9.81640625" bestFit="1" customWidth="1"/>
    <col min="13" max="13" width="13.81640625" bestFit="1" customWidth="1"/>
    <col min="14" max="14" width="11.81640625" customWidth="1"/>
    <col min="15" max="15" width="11.453125" bestFit="1" customWidth="1"/>
    <col min="16" max="16" width="14.453125" customWidth="1"/>
    <col min="17" max="17" width="14" bestFit="1" customWidth="1"/>
    <col min="18" max="18" width="35.36328125" bestFit="1" customWidth="1"/>
    <col min="19" max="19" width="44.81640625" customWidth="1"/>
    <col min="20" max="20" width="11.81640625" customWidth="1"/>
  </cols>
  <sheetData>
    <row r="1" spans="1:20">
      <c r="A1" s="14" t="s">
        <v>100</v>
      </c>
      <c r="B1" s="14" t="s">
        <v>0</v>
      </c>
      <c r="C1" s="14" t="s">
        <v>1</v>
      </c>
      <c r="D1" s="14" t="s">
        <v>2</v>
      </c>
      <c r="E1" s="14" t="s">
        <v>4</v>
      </c>
      <c r="F1" s="14" t="s">
        <v>3</v>
      </c>
      <c r="G1" s="14" t="s">
        <v>5</v>
      </c>
      <c r="H1" s="14" t="s">
        <v>20</v>
      </c>
      <c r="I1" s="14" t="s">
        <v>6</v>
      </c>
      <c r="J1" s="14" t="s">
        <v>68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13</v>
      </c>
      <c r="Q1" s="14" t="s">
        <v>12</v>
      </c>
      <c r="R1" s="14" t="s">
        <v>14</v>
      </c>
      <c r="S1" s="14" t="s">
        <v>15</v>
      </c>
      <c r="T1" s="14" t="s">
        <v>131</v>
      </c>
    </row>
    <row r="2" spans="1:20">
      <c r="A2">
        <v>1</v>
      </c>
      <c r="B2" s="1">
        <v>811335</v>
      </c>
      <c r="C2" t="s">
        <v>34</v>
      </c>
      <c r="D2" s="15">
        <v>44547</v>
      </c>
      <c r="E2" t="s">
        <v>35</v>
      </c>
      <c r="F2" t="s">
        <v>36</v>
      </c>
      <c r="G2" t="s">
        <v>22</v>
      </c>
      <c r="H2" t="s">
        <v>23</v>
      </c>
      <c r="I2" t="s">
        <v>25</v>
      </c>
      <c r="J2" t="s">
        <v>25</v>
      </c>
      <c r="K2" t="s">
        <v>24</v>
      </c>
      <c r="L2" t="s">
        <v>25</v>
      </c>
      <c r="M2" s="9" t="s">
        <v>27</v>
      </c>
      <c r="N2" s="7" t="s">
        <v>27</v>
      </c>
      <c r="O2" s="5" t="s">
        <v>27</v>
      </c>
      <c r="P2" s="6" t="s">
        <v>27</v>
      </c>
      <c r="Q2" s="5" t="s">
        <v>27</v>
      </c>
      <c r="R2" t="s">
        <v>37</v>
      </c>
      <c r="S2" s="8"/>
      <c r="T2" t="s">
        <v>139</v>
      </c>
    </row>
    <row r="3" spans="1:20">
      <c r="A3">
        <v>2</v>
      </c>
      <c r="B3" s="1">
        <v>810937</v>
      </c>
      <c r="C3" t="s">
        <v>59</v>
      </c>
      <c r="D3" s="15">
        <v>44574</v>
      </c>
      <c r="E3" t="s">
        <v>60</v>
      </c>
      <c r="F3" t="s">
        <v>61</v>
      </c>
      <c r="G3" t="s">
        <v>41</v>
      </c>
      <c r="H3" t="s">
        <v>62</v>
      </c>
      <c r="I3" t="s">
        <v>24</v>
      </c>
      <c r="J3" t="s">
        <v>25</v>
      </c>
      <c r="K3" t="s">
        <v>25</v>
      </c>
      <c r="L3" t="s">
        <v>24</v>
      </c>
      <c r="M3" s="10">
        <v>218</v>
      </c>
      <c r="N3" s="7" t="s">
        <v>27</v>
      </c>
      <c r="O3" s="5" t="s">
        <v>27</v>
      </c>
      <c r="P3" s="6" t="s">
        <v>27</v>
      </c>
      <c r="Q3" s="5" t="s">
        <v>27</v>
      </c>
      <c r="R3" t="s">
        <v>37</v>
      </c>
      <c r="S3" s="8" t="s">
        <v>79</v>
      </c>
      <c r="T3" t="s">
        <v>139</v>
      </c>
    </row>
    <row r="4" spans="1:20">
      <c r="A4">
        <v>3</v>
      </c>
      <c r="B4" s="1">
        <v>810937</v>
      </c>
      <c r="C4" t="s">
        <v>59</v>
      </c>
      <c r="D4" s="15">
        <v>44574</v>
      </c>
      <c r="E4" t="s">
        <v>64</v>
      </c>
      <c r="F4" t="s">
        <v>61</v>
      </c>
      <c r="G4" t="s">
        <v>41</v>
      </c>
      <c r="H4" t="s">
        <v>49</v>
      </c>
      <c r="I4" t="s">
        <v>24</v>
      </c>
      <c r="J4" t="s">
        <v>25</v>
      </c>
      <c r="K4" t="s">
        <v>25</v>
      </c>
      <c r="L4" t="s">
        <v>24</v>
      </c>
      <c r="M4" s="10">
        <v>1458</v>
      </c>
      <c r="N4" s="7" t="s">
        <v>27</v>
      </c>
      <c r="O4" s="5" t="s">
        <v>27</v>
      </c>
      <c r="P4" s="6" t="s">
        <v>27</v>
      </c>
      <c r="Q4" s="5" t="s">
        <v>27</v>
      </c>
      <c r="R4" t="s">
        <v>37</v>
      </c>
      <c r="S4" s="8" t="s">
        <v>79</v>
      </c>
      <c r="T4" t="s">
        <v>139</v>
      </c>
    </row>
    <row r="5" spans="1:20">
      <c r="A5">
        <v>4</v>
      </c>
      <c r="B5" s="1">
        <v>810937</v>
      </c>
      <c r="C5" t="s">
        <v>59</v>
      </c>
      <c r="D5" s="15">
        <v>44574</v>
      </c>
      <c r="E5" t="s">
        <v>65</v>
      </c>
      <c r="F5" t="s">
        <v>61</v>
      </c>
      <c r="G5" t="s">
        <v>66</v>
      </c>
      <c r="H5" t="s">
        <v>62</v>
      </c>
      <c r="I5" t="s">
        <v>24</v>
      </c>
      <c r="J5" t="s">
        <v>25</v>
      </c>
      <c r="K5" t="s">
        <v>25</v>
      </c>
      <c r="L5" t="s">
        <v>24</v>
      </c>
      <c r="M5" s="10">
        <v>619</v>
      </c>
      <c r="N5" s="7" t="s">
        <v>27</v>
      </c>
      <c r="O5" s="5" t="s">
        <v>27</v>
      </c>
      <c r="P5" s="6" t="s">
        <v>27</v>
      </c>
      <c r="Q5" s="5" t="s">
        <v>27</v>
      </c>
      <c r="R5" t="s">
        <v>37</v>
      </c>
      <c r="S5" t="s">
        <v>67</v>
      </c>
      <c r="T5" t="s">
        <v>139</v>
      </c>
    </row>
    <row r="6" spans="1:20">
      <c r="A6">
        <v>5</v>
      </c>
      <c r="B6" s="1">
        <v>820132</v>
      </c>
      <c r="C6" t="s">
        <v>28</v>
      </c>
      <c r="D6" s="15">
        <v>44607</v>
      </c>
      <c r="E6" s="8" t="s">
        <v>29</v>
      </c>
      <c r="F6" t="s">
        <v>30</v>
      </c>
      <c r="G6" t="s">
        <v>31</v>
      </c>
      <c r="H6" t="s">
        <v>32</v>
      </c>
      <c r="I6" t="s">
        <v>24</v>
      </c>
      <c r="J6" t="s">
        <v>25</v>
      </c>
      <c r="K6" t="s">
        <v>25</v>
      </c>
      <c r="L6" t="s">
        <v>24</v>
      </c>
      <c r="M6" s="11">
        <v>490</v>
      </c>
      <c r="N6" s="7" t="s">
        <v>27</v>
      </c>
      <c r="O6" s="5" t="s">
        <v>27</v>
      </c>
      <c r="P6" s="6" t="s">
        <v>27</v>
      </c>
      <c r="Q6" s="5" t="s">
        <v>27</v>
      </c>
      <c r="R6" t="s">
        <v>33</v>
      </c>
      <c r="S6" s="8"/>
      <c r="T6" t="s">
        <v>140</v>
      </c>
    </row>
    <row r="7" spans="1:20">
      <c r="A7">
        <v>6</v>
      </c>
      <c r="B7" s="1">
        <v>820153</v>
      </c>
      <c r="C7" t="s">
        <v>16</v>
      </c>
      <c r="D7" s="15">
        <v>44613</v>
      </c>
      <c r="E7" t="s">
        <v>17</v>
      </c>
      <c r="F7" t="s">
        <v>19</v>
      </c>
      <c r="G7" t="s">
        <v>22</v>
      </c>
      <c r="H7" t="s">
        <v>23</v>
      </c>
      <c r="I7" t="s">
        <v>24</v>
      </c>
      <c r="J7" t="s">
        <v>25</v>
      </c>
      <c r="K7" t="s">
        <v>25</v>
      </c>
      <c r="L7" t="s">
        <v>24</v>
      </c>
      <c r="M7" s="11">
        <v>208</v>
      </c>
      <c r="N7" s="3">
        <v>6.8400000000000002E-2</v>
      </c>
      <c r="O7" s="5" t="s">
        <v>27</v>
      </c>
      <c r="P7" s="6" t="s">
        <v>27</v>
      </c>
      <c r="Q7" s="5" t="s">
        <v>27</v>
      </c>
      <c r="R7" t="s">
        <v>26</v>
      </c>
      <c r="S7" s="12">
        <v>810668</v>
      </c>
      <c r="T7" t="s">
        <v>141</v>
      </c>
    </row>
    <row r="8" spans="1:20">
      <c r="A8">
        <v>7</v>
      </c>
      <c r="B8" s="1">
        <v>820153</v>
      </c>
      <c r="C8" t="s">
        <v>16</v>
      </c>
      <c r="D8" s="15">
        <v>44614</v>
      </c>
      <c r="E8" t="s">
        <v>18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25</v>
      </c>
      <c r="L8" t="s">
        <v>24</v>
      </c>
      <c r="M8" s="11">
        <v>271</v>
      </c>
      <c r="N8" s="3">
        <v>7.5499999999999998E-2</v>
      </c>
      <c r="O8" s="5" t="s">
        <v>27</v>
      </c>
      <c r="P8" s="6" t="s">
        <v>27</v>
      </c>
      <c r="Q8" s="5" t="s">
        <v>27</v>
      </c>
      <c r="R8" t="s">
        <v>26</v>
      </c>
      <c r="S8" s="12">
        <v>810668</v>
      </c>
      <c r="T8" t="s">
        <v>141</v>
      </c>
    </row>
    <row r="9" spans="1:20">
      <c r="A9">
        <v>8</v>
      </c>
      <c r="B9" s="1">
        <v>720271</v>
      </c>
      <c r="C9" t="s">
        <v>38</v>
      </c>
      <c r="D9" s="15">
        <v>44658</v>
      </c>
      <c r="E9" t="s">
        <v>39</v>
      </c>
      <c r="F9" t="s">
        <v>40</v>
      </c>
      <c r="G9" t="s">
        <v>41</v>
      </c>
      <c r="H9" t="s">
        <v>32</v>
      </c>
      <c r="I9" t="s">
        <v>24</v>
      </c>
      <c r="J9" t="s">
        <v>25</v>
      </c>
      <c r="K9" t="s">
        <v>25</v>
      </c>
      <c r="L9" t="s">
        <v>24</v>
      </c>
      <c r="M9" s="10">
        <v>616</v>
      </c>
      <c r="N9" s="7" t="s">
        <v>27</v>
      </c>
      <c r="O9" s="5" t="s">
        <v>27</v>
      </c>
      <c r="P9" s="6" t="s">
        <v>27</v>
      </c>
      <c r="Q9" s="5" t="s">
        <v>27</v>
      </c>
      <c r="R9" t="s">
        <v>42</v>
      </c>
      <c r="S9" s="8"/>
      <c r="T9" t="s">
        <v>139</v>
      </c>
    </row>
    <row r="10" spans="1:20">
      <c r="A10">
        <v>9</v>
      </c>
      <c r="B10" s="1">
        <v>720271</v>
      </c>
      <c r="C10" t="s">
        <v>38</v>
      </c>
      <c r="D10" s="15">
        <v>44658</v>
      </c>
      <c r="E10" t="s">
        <v>43</v>
      </c>
      <c r="F10" t="s">
        <v>44</v>
      </c>
      <c r="G10" t="s">
        <v>41</v>
      </c>
      <c r="H10" t="s">
        <v>23</v>
      </c>
      <c r="I10" t="s">
        <v>24</v>
      </c>
      <c r="J10" t="s">
        <v>25</v>
      </c>
      <c r="K10" t="s">
        <v>25</v>
      </c>
      <c r="L10" t="s">
        <v>24</v>
      </c>
      <c r="M10" s="10">
        <v>777</v>
      </c>
      <c r="N10" s="7" t="s">
        <v>27</v>
      </c>
      <c r="O10" s="5" t="s">
        <v>27</v>
      </c>
      <c r="P10" s="6" t="s">
        <v>27</v>
      </c>
      <c r="Q10" s="5" t="s">
        <v>27</v>
      </c>
      <c r="R10" t="s">
        <v>42</v>
      </c>
      <c r="S10" s="8"/>
      <c r="T10" t="s">
        <v>139</v>
      </c>
    </row>
    <row r="11" spans="1:20">
      <c r="A11">
        <v>10</v>
      </c>
      <c r="B11" s="1">
        <v>720455</v>
      </c>
      <c r="C11" t="s">
        <v>45</v>
      </c>
      <c r="D11" s="15">
        <v>44665</v>
      </c>
      <c r="E11" t="s">
        <v>47</v>
      </c>
      <c r="F11" t="s">
        <v>46</v>
      </c>
      <c r="G11" t="s">
        <v>48</v>
      </c>
      <c r="H11" t="s">
        <v>49</v>
      </c>
      <c r="I11" t="s">
        <v>24</v>
      </c>
      <c r="J11" t="s">
        <v>25</v>
      </c>
      <c r="K11" t="s">
        <v>25</v>
      </c>
      <c r="L11" t="s">
        <v>24</v>
      </c>
      <c r="M11" s="10">
        <v>342</v>
      </c>
      <c r="N11" s="7" t="s">
        <v>27</v>
      </c>
      <c r="O11" s="5" t="s">
        <v>27</v>
      </c>
      <c r="P11" s="6" t="s">
        <v>27</v>
      </c>
      <c r="Q11" s="5" t="s">
        <v>27</v>
      </c>
      <c r="R11" t="s">
        <v>42</v>
      </c>
      <c r="S11" s="8"/>
      <c r="T11" t="s">
        <v>139</v>
      </c>
    </row>
    <row r="12" spans="1:20">
      <c r="A12">
        <v>11</v>
      </c>
      <c r="B12" s="1">
        <v>720659</v>
      </c>
      <c r="C12" t="s">
        <v>91</v>
      </c>
      <c r="D12" s="15">
        <v>44700</v>
      </c>
      <c r="E12" t="s">
        <v>50</v>
      </c>
      <c r="F12" t="s">
        <v>51</v>
      </c>
      <c r="G12" t="s">
        <v>22</v>
      </c>
      <c r="H12" t="s">
        <v>23</v>
      </c>
      <c r="I12" t="s">
        <v>24</v>
      </c>
      <c r="J12" t="s">
        <v>24</v>
      </c>
      <c r="K12" t="s">
        <v>25</v>
      </c>
      <c r="L12" t="s">
        <v>24</v>
      </c>
      <c r="M12" s="10">
        <v>977</v>
      </c>
      <c r="N12" s="7">
        <v>2.3999999999999998E-3</v>
      </c>
      <c r="O12" s="5">
        <v>43</v>
      </c>
      <c r="P12" s="6" t="s">
        <v>52</v>
      </c>
      <c r="Q12" s="5">
        <v>51</v>
      </c>
      <c r="R12" t="s">
        <v>82</v>
      </c>
      <c r="S12" s="8"/>
      <c r="T12" t="s">
        <v>141</v>
      </c>
    </row>
    <row r="13" spans="1:20">
      <c r="A13">
        <v>12</v>
      </c>
      <c r="B13" s="1">
        <v>720659</v>
      </c>
      <c r="C13" t="s">
        <v>91</v>
      </c>
      <c r="D13" s="15">
        <v>44700</v>
      </c>
      <c r="E13" t="s">
        <v>53</v>
      </c>
      <c r="F13" t="s">
        <v>51</v>
      </c>
      <c r="G13" t="s">
        <v>22</v>
      </c>
      <c r="H13" t="s">
        <v>23</v>
      </c>
      <c r="I13" t="s">
        <v>24</v>
      </c>
      <c r="J13" t="s">
        <v>24</v>
      </c>
      <c r="K13" t="s">
        <v>25</v>
      </c>
      <c r="L13" t="s">
        <v>24</v>
      </c>
      <c r="M13" s="10">
        <v>1260</v>
      </c>
      <c r="N13" s="7">
        <v>2.5999999999999999E-3</v>
      </c>
      <c r="O13" s="5">
        <v>31</v>
      </c>
      <c r="P13" s="6" t="s">
        <v>54</v>
      </c>
      <c r="Q13" s="5">
        <v>41</v>
      </c>
      <c r="R13" t="s">
        <v>82</v>
      </c>
      <c r="S13" s="8"/>
      <c r="T13" t="s">
        <v>141</v>
      </c>
    </row>
    <row r="14" spans="1:20">
      <c r="A14">
        <v>13</v>
      </c>
      <c r="B14" s="1">
        <v>820564</v>
      </c>
      <c r="C14" t="s">
        <v>58</v>
      </c>
      <c r="D14" s="15">
        <v>44704</v>
      </c>
      <c r="E14" t="s">
        <v>55</v>
      </c>
      <c r="F14" t="s">
        <v>56</v>
      </c>
      <c r="G14" t="s">
        <v>22</v>
      </c>
      <c r="H14" t="s">
        <v>23</v>
      </c>
      <c r="I14" t="s">
        <v>24</v>
      </c>
      <c r="J14" t="s">
        <v>24</v>
      </c>
      <c r="K14" t="s">
        <v>25</v>
      </c>
      <c r="L14" t="s">
        <v>24</v>
      </c>
      <c r="M14" s="10">
        <v>563</v>
      </c>
      <c r="N14" s="7">
        <v>4.7999999999999996E-3</v>
      </c>
      <c r="O14" s="5">
        <v>28</v>
      </c>
      <c r="P14" s="6" t="s">
        <v>54</v>
      </c>
      <c r="Q14" s="5">
        <v>26</v>
      </c>
      <c r="R14" t="s">
        <v>63</v>
      </c>
      <c r="S14" s="12">
        <v>820473</v>
      </c>
      <c r="T14" t="s">
        <v>141</v>
      </c>
    </row>
    <row r="15" spans="1:20">
      <c r="A15">
        <v>14</v>
      </c>
      <c r="B15" s="1">
        <v>820564</v>
      </c>
      <c r="C15" t="s">
        <v>58</v>
      </c>
      <c r="D15" s="15">
        <v>44704</v>
      </c>
      <c r="E15" t="s">
        <v>55</v>
      </c>
      <c r="F15" t="s">
        <v>57</v>
      </c>
      <c r="G15" t="s">
        <v>22</v>
      </c>
      <c r="H15" t="s">
        <v>23</v>
      </c>
      <c r="I15" t="s">
        <v>24</v>
      </c>
      <c r="J15" t="s">
        <v>24</v>
      </c>
      <c r="K15" t="s">
        <v>25</v>
      </c>
      <c r="L15" t="s">
        <v>24</v>
      </c>
      <c r="M15" s="10">
        <v>686</v>
      </c>
      <c r="N15" s="7">
        <v>3.7000000000000002E-3</v>
      </c>
      <c r="O15" s="5">
        <v>42</v>
      </c>
      <c r="P15" s="6" t="s">
        <v>52</v>
      </c>
      <c r="Q15" s="5">
        <v>24</v>
      </c>
      <c r="R15" t="s">
        <v>63</v>
      </c>
      <c r="S15" s="12">
        <v>820473</v>
      </c>
      <c r="T15" t="s">
        <v>141</v>
      </c>
    </row>
    <row r="16" spans="1:20">
      <c r="A16">
        <v>15</v>
      </c>
      <c r="B16" s="1">
        <v>720986</v>
      </c>
      <c r="C16" t="s">
        <v>69</v>
      </c>
      <c r="D16" s="15">
        <v>44736</v>
      </c>
      <c r="E16" t="s">
        <v>70</v>
      </c>
      <c r="F16" t="s">
        <v>85</v>
      </c>
      <c r="G16" t="s">
        <v>31</v>
      </c>
      <c r="H16" t="s">
        <v>23</v>
      </c>
      <c r="I16" t="s">
        <v>24</v>
      </c>
      <c r="J16" t="s">
        <v>24</v>
      </c>
      <c r="K16" t="s">
        <v>25</v>
      </c>
      <c r="L16" t="s">
        <v>24</v>
      </c>
      <c r="M16" s="10">
        <v>462</v>
      </c>
      <c r="N16" s="7">
        <v>0.49840000000000001</v>
      </c>
      <c r="O16" s="5">
        <v>22</v>
      </c>
      <c r="P16" s="6" t="s">
        <v>54</v>
      </c>
      <c r="Q16" s="5">
        <v>29</v>
      </c>
      <c r="R16" t="s">
        <v>71</v>
      </c>
      <c r="S16" s="13" t="s">
        <v>138</v>
      </c>
      <c r="T16" t="s">
        <v>139</v>
      </c>
    </row>
    <row r="17" spans="1:20">
      <c r="A17">
        <v>16</v>
      </c>
      <c r="B17" s="1">
        <v>810937</v>
      </c>
      <c r="C17" t="s">
        <v>59</v>
      </c>
      <c r="D17" s="15">
        <v>44748</v>
      </c>
      <c r="E17" t="s">
        <v>72</v>
      </c>
      <c r="F17" t="s">
        <v>61</v>
      </c>
      <c r="G17" t="s">
        <v>41</v>
      </c>
      <c r="H17" t="s">
        <v>49</v>
      </c>
      <c r="I17" t="s">
        <v>24</v>
      </c>
      <c r="J17" t="s">
        <v>25</v>
      </c>
      <c r="K17" t="s">
        <v>25</v>
      </c>
      <c r="L17" t="s">
        <v>24</v>
      </c>
      <c r="M17" s="10">
        <v>1416.98</v>
      </c>
      <c r="N17" s="7" t="s">
        <v>27</v>
      </c>
      <c r="O17" s="5" t="s">
        <v>27</v>
      </c>
      <c r="P17" s="6" t="s">
        <v>27</v>
      </c>
      <c r="Q17" s="5" t="s">
        <v>27</v>
      </c>
      <c r="R17" t="s">
        <v>37</v>
      </c>
      <c r="S17" s="8" t="s">
        <v>79</v>
      </c>
      <c r="T17" t="s">
        <v>139</v>
      </c>
    </row>
    <row r="18" spans="1:20">
      <c r="A18">
        <v>17</v>
      </c>
      <c r="B18" s="1">
        <v>810937</v>
      </c>
      <c r="C18" t="s">
        <v>59</v>
      </c>
      <c r="D18" s="15">
        <v>44748</v>
      </c>
      <c r="E18" t="s">
        <v>73</v>
      </c>
      <c r="F18" t="s">
        <v>61</v>
      </c>
      <c r="G18" t="s">
        <v>41</v>
      </c>
      <c r="H18" t="s">
        <v>77</v>
      </c>
      <c r="I18" t="s">
        <v>24</v>
      </c>
      <c r="J18" t="s">
        <v>25</v>
      </c>
      <c r="K18" t="s">
        <v>25</v>
      </c>
      <c r="L18" t="s">
        <v>24</v>
      </c>
      <c r="M18" s="10">
        <v>1392.56</v>
      </c>
      <c r="N18" s="7" t="s">
        <v>27</v>
      </c>
      <c r="O18" s="5" t="s">
        <v>27</v>
      </c>
      <c r="P18" s="6" t="s">
        <v>27</v>
      </c>
      <c r="Q18" s="5" t="s">
        <v>27</v>
      </c>
      <c r="R18" t="s">
        <v>37</v>
      </c>
      <c r="S18" s="8" t="s">
        <v>79</v>
      </c>
      <c r="T18" t="s">
        <v>139</v>
      </c>
    </row>
    <row r="19" spans="1:20">
      <c r="A19">
        <v>18</v>
      </c>
      <c r="B19" s="1">
        <v>810937</v>
      </c>
      <c r="C19" t="s">
        <v>59</v>
      </c>
      <c r="D19" s="15">
        <v>44748</v>
      </c>
      <c r="E19" t="s">
        <v>74</v>
      </c>
      <c r="F19" t="s">
        <v>61</v>
      </c>
      <c r="G19" t="s">
        <v>66</v>
      </c>
      <c r="H19" t="s">
        <v>23</v>
      </c>
      <c r="I19" t="s">
        <v>24</v>
      </c>
      <c r="J19" t="s">
        <v>25</v>
      </c>
      <c r="K19" t="s">
        <v>25</v>
      </c>
      <c r="L19" t="s">
        <v>24</v>
      </c>
      <c r="M19" s="10">
        <v>61.28</v>
      </c>
      <c r="N19" s="7" t="s">
        <v>27</v>
      </c>
      <c r="O19" s="5" t="s">
        <v>27</v>
      </c>
      <c r="P19" s="6" t="s">
        <v>27</v>
      </c>
      <c r="Q19" s="5" t="s">
        <v>27</v>
      </c>
      <c r="R19" t="s">
        <v>37</v>
      </c>
      <c r="S19" t="s">
        <v>67</v>
      </c>
      <c r="T19" t="s">
        <v>139</v>
      </c>
    </row>
    <row r="20" spans="1:20">
      <c r="A20">
        <v>19</v>
      </c>
      <c r="B20" s="1">
        <v>810937</v>
      </c>
      <c r="C20" t="s">
        <v>59</v>
      </c>
      <c r="D20" s="15">
        <v>44748</v>
      </c>
      <c r="E20" t="s">
        <v>75</v>
      </c>
      <c r="F20" t="s">
        <v>61</v>
      </c>
      <c r="G20" t="s">
        <v>66</v>
      </c>
      <c r="H20" t="s">
        <v>78</v>
      </c>
      <c r="I20" t="s">
        <v>24</v>
      </c>
      <c r="J20" t="s">
        <v>25</v>
      </c>
      <c r="K20" t="s">
        <v>25</v>
      </c>
      <c r="L20" t="s">
        <v>24</v>
      </c>
      <c r="M20" s="10">
        <v>659.32</v>
      </c>
      <c r="N20" s="7" t="s">
        <v>27</v>
      </c>
      <c r="O20" s="5" t="s">
        <v>27</v>
      </c>
      <c r="P20" s="6" t="s">
        <v>27</v>
      </c>
      <c r="Q20" s="5" t="s">
        <v>27</v>
      </c>
      <c r="R20" t="s">
        <v>37</v>
      </c>
      <c r="S20" t="s">
        <v>67</v>
      </c>
      <c r="T20" t="s">
        <v>139</v>
      </c>
    </row>
    <row r="21" spans="1:20">
      <c r="A21">
        <v>20</v>
      </c>
      <c r="B21" s="1">
        <v>810937</v>
      </c>
      <c r="C21" t="s">
        <v>59</v>
      </c>
      <c r="D21" s="15">
        <v>44748</v>
      </c>
      <c r="E21" t="s">
        <v>76</v>
      </c>
      <c r="F21" t="s">
        <v>61</v>
      </c>
      <c r="G21" t="s">
        <v>66</v>
      </c>
      <c r="H21" t="s">
        <v>78</v>
      </c>
      <c r="I21" t="s">
        <v>24</v>
      </c>
      <c r="J21" t="s">
        <v>25</v>
      </c>
      <c r="K21" t="s">
        <v>25</v>
      </c>
      <c r="L21" t="s">
        <v>24</v>
      </c>
      <c r="M21" s="10">
        <v>629.57000000000005</v>
      </c>
      <c r="N21" s="7" t="s">
        <v>27</v>
      </c>
      <c r="O21" s="5" t="s">
        <v>27</v>
      </c>
      <c r="P21" s="6" t="s">
        <v>27</v>
      </c>
      <c r="Q21" s="5" t="s">
        <v>27</v>
      </c>
      <c r="R21" t="s">
        <v>37</v>
      </c>
      <c r="S21" t="s">
        <v>67</v>
      </c>
      <c r="T21" t="s">
        <v>139</v>
      </c>
    </row>
    <row r="22" spans="1:20">
      <c r="A22">
        <v>21</v>
      </c>
      <c r="B22" s="1">
        <v>720100</v>
      </c>
      <c r="C22" t="s">
        <v>80</v>
      </c>
      <c r="D22" s="15">
        <v>44760</v>
      </c>
      <c r="E22" t="s">
        <v>81</v>
      </c>
      <c r="F22" t="s">
        <v>84</v>
      </c>
      <c r="G22" t="s">
        <v>22</v>
      </c>
      <c r="H22" t="s">
        <v>23</v>
      </c>
      <c r="I22" t="s">
        <v>24</v>
      </c>
      <c r="J22" t="s">
        <v>24</v>
      </c>
      <c r="K22" t="s">
        <v>25</v>
      </c>
      <c r="L22" t="s">
        <v>24</v>
      </c>
      <c r="M22" s="10">
        <v>225</v>
      </c>
      <c r="N22" s="7">
        <v>7.9000000000000008E-3</v>
      </c>
      <c r="O22" s="5">
        <v>45</v>
      </c>
      <c r="P22" s="6" t="s">
        <v>52</v>
      </c>
      <c r="Q22" s="5">
        <v>40</v>
      </c>
      <c r="R22" t="s">
        <v>82</v>
      </c>
      <c r="S22" t="s">
        <v>83</v>
      </c>
      <c r="T22" t="s">
        <v>139</v>
      </c>
    </row>
    <row r="23" spans="1:20">
      <c r="A23">
        <v>22</v>
      </c>
      <c r="B23" s="1">
        <v>720184</v>
      </c>
      <c r="C23" t="s">
        <v>86</v>
      </c>
      <c r="D23" s="15">
        <v>44763</v>
      </c>
      <c r="E23" t="s">
        <v>87</v>
      </c>
      <c r="F23" t="s">
        <v>87</v>
      </c>
      <c r="G23" t="s">
        <v>22</v>
      </c>
      <c r="H23" t="s">
        <v>32</v>
      </c>
      <c r="I23" t="s">
        <v>24</v>
      </c>
      <c r="J23" t="s">
        <v>24</v>
      </c>
      <c r="K23" t="s">
        <v>25</v>
      </c>
      <c r="L23" t="s">
        <v>25</v>
      </c>
      <c r="M23" s="10" t="s">
        <v>27</v>
      </c>
      <c r="N23" s="7" t="s">
        <v>27</v>
      </c>
      <c r="O23" s="5" t="s">
        <v>27</v>
      </c>
      <c r="P23" s="6" t="s">
        <v>52</v>
      </c>
      <c r="Q23" s="5">
        <v>45</v>
      </c>
      <c r="R23" t="s">
        <v>88</v>
      </c>
      <c r="T23" t="s">
        <v>139</v>
      </c>
    </row>
    <row r="24" spans="1:20">
      <c r="A24">
        <v>23</v>
      </c>
      <c r="B24" s="1">
        <v>720184</v>
      </c>
      <c r="C24" t="s">
        <v>86</v>
      </c>
      <c r="D24" s="15">
        <v>44763</v>
      </c>
      <c r="E24" t="s">
        <v>89</v>
      </c>
      <c r="F24" t="s">
        <v>89</v>
      </c>
      <c r="G24" t="s">
        <v>22</v>
      </c>
      <c r="H24" t="s">
        <v>32</v>
      </c>
      <c r="I24" t="s">
        <v>24</v>
      </c>
      <c r="J24" t="s">
        <v>24</v>
      </c>
      <c r="K24" t="s">
        <v>25</v>
      </c>
      <c r="L24" t="s">
        <v>25</v>
      </c>
      <c r="M24" s="10" t="s">
        <v>27</v>
      </c>
      <c r="N24" s="7" t="s">
        <v>27</v>
      </c>
      <c r="O24" s="5" t="s">
        <v>27</v>
      </c>
      <c r="P24" s="6" t="s">
        <v>52</v>
      </c>
      <c r="Q24" s="5">
        <v>45</v>
      </c>
      <c r="R24" t="s">
        <v>88</v>
      </c>
      <c r="T24" t="s">
        <v>139</v>
      </c>
    </row>
    <row r="25" spans="1:20">
      <c r="A25">
        <v>24</v>
      </c>
      <c r="B25" s="1">
        <v>721153</v>
      </c>
      <c r="C25" t="s">
        <v>93</v>
      </c>
      <c r="D25" s="15">
        <v>44789</v>
      </c>
      <c r="E25" t="s">
        <v>90</v>
      </c>
      <c r="F25" t="s">
        <v>90</v>
      </c>
      <c r="G25" t="s">
        <v>41</v>
      </c>
      <c r="H25" t="s">
        <v>32</v>
      </c>
      <c r="I25" t="s">
        <v>24</v>
      </c>
      <c r="J25" t="s">
        <v>24</v>
      </c>
      <c r="K25" t="s">
        <v>25</v>
      </c>
      <c r="L25" t="s">
        <v>24</v>
      </c>
      <c r="M25" s="10">
        <v>1418</v>
      </c>
      <c r="N25" s="7">
        <v>2.1000000000000001E-2</v>
      </c>
      <c r="O25" s="5">
        <v>28</v>
      </c>
      <c r="P25" s="6" t="s">
        <v>54</v>
      </c>
      <c r="Q25" s="5">
        <v>45</v>
      </c>
      <c r="R25" t="s">
        <v>88</v>
      </c>
      <c r="T25" t="s">
        <v>139</v>
      </c>
    </row>
    <row r="26" spans="1:20">
      <c r="A26">
        <v>25</v>
      </c>
      <c r="B26" s="1">
        <v>721312</v>
      </c>
      <c r="C26" t="s">
        <v>92</v>
      </c>
      <c r="D26" s="15">
        <v>44798</v>
      </c>
      <c r="E26" t="s">
        <v>94</v>
      </c>
      <c r="F26" t="s">
        <v>97</v>
      </c>
      <c r="G26" t="s">
        <v>41</v>
      </c>
      <c r="H26" t="s">
        <v>32</v>
      </c>
      <c r="I26" t="s">
        <v>24</v>
      </c>
      <c r="J26" t="s">
        <v>24</v>
      </c>
      <c r="K26" t="s">
        <v>25</v>
      </c>
      <c r="L26" t="s">
        <v>24</v>
      </c>
      <c r="M26" s="10">
        <v>562</v>
      </c>
      <c r="N26" s="7">
        <v>3.6700000000000003E-2</v>
      </c>
      <c r="O26" s="5">
        <v>31.2</v>
      </c>
      <c r="P26" s="6" t="s">
        <v>54</v>
      </c>
      <c r="Q26" s="5">
        <v>26</v>
      </c>
      <c r="R26" t="s">
        <v>99</v>
      </c>
      <c r="T26" t="s">
        <v>139</v>
      </c>
    </row>
    <row r="27" spans="1:20">
      <c r="A27">
        <v>26</v>
      </c>
      <c r="B27" s="1">
        <v>721312</v>
      </c>
      <c r="C27" t="s">
        <v>92</v>
      </c>
      <c r="D27" s="15">
        <v>44798</v>
      </c>
      <c r="E27" t="s">
        <v>95</v>
      </c>
      <c r="F27" t="s">
        <v>98</v>
      </c>
      <c r="G27" t="s">
        <v>41</v>
      </c>
      <c r="H27" t="s">
        <v>23</v>
      </c>
      <c r="I27" t="s">
        <v>24</v>
      </c>
      <c r="J27" t="s">
        <v>24</v>
      </c>
      <c r="K27" t="s">
        <v>25</v>
      </c>
      <c r="L27" t="s">
        <v>24</v>
      </c>
      <c r="M27" s="10">
        <v>950</v>
      </c>
      <c r="N27" s="7">
        <v>9.1700000000000004E-2</v>
      </c>
      <c r="O27" s="5">
        <v>34.200000000000003</v>
      </c>
      <c r="P27" s="6" t="s">
        <v>54</v>
      </c>
      <c r="Q27" s="5">
        <v>28</v>
      </c>
      <c r="R27" t="s">
        <v>99</v>
      </c>
      <c r="T27" t="s">
        <v>139</v>
      </c>
    </row>
    <row r="28" spans="1:20">
      <c r="A28">
        <v>27</v>
      </c>
      <c r="B28" s="1">
        <v>721312</v>
      </c>
      <c r="C28" t="s">
        <v>92</v>
      </c>
      <c r="D28" s="15">
        <v>44798</v>
      </c>
      <c r="E28" t="s">
        <v>96</v>
      </c>
      <c r="F28" t="s">
        <v>97</v>
      </c>
      <c r="G28" t="s">
        <v>22</v>
      </c>
      <c r="H28" t="s">
        <v>23</v>
      </c>
      <c r="I28" t="s">
        <v>24</v>
      </c>
      <c r="J28" t="s">
        <v>24</v>
      </c>
      <c r="K28" t="s">
        <v>25</v>
      </c>
      <c r="L28" t="s">
        <v>24</v>
      </c>
      <c r="M28" s="10">
        <v>641</v>
      </c>
      <c r="N28" s="7">
        <v>1.0800000000000001E-2</v>
      </c>
      <c r="O28" s="5">
        <v>36.1</v>
      </c>
      <c r="P28" s="6" t="s">
        <v>54</v>
      </c>
      <c r="Q28" s="5">
        <v>38</v>
      </c>
      <c r="R28" t="s">
        <v>99</v>
      </c>
      <c r="T28" t="s">
        <v>139</v>
      </c>
    </row>
    <row r="29" spans="1:20">
      <c r="A29">
        <v>28</v>
      </c>
      <c r="B29" s="1">
        <v>712214</v>
      </c>
      <c r="C29" t="s">
        <v>101</v>
      </c>
      <c r="D29" s="2">
        <v>44809</v>
      </c>
      <c r="E29" t="s">
        <v>102</v>
      </c>
      <c r="F29" t="s">
        <v>103</v>
      </c>
      <c r="G29" t="s">
        <v>22</v>
      </c>
      <c r="H29" t="s">
        <v>77</v>
      </c>
      <c r="I29" t="s">
        <v>24</v>
      </c>
      <c r="J29" t="s">
        <v>24</v>
      </c>
      <c r="K29" t="s">
        <v>25</v>
      </c>
      <c r="L29" t="s">
        <v>24</v>
      </c>
      <c r="M29" s="10">
        <v>449.5</v>
      </c>
      <c r="N29" s="7">
        <v>1.21E-2</v>
      </c>
      <c r="O29" s="5">
        <v>35.5</v>
      </c>
      <c r="P29" s="6" t="s">
        <v>54</v>
      </c>
      <c r="Q29" s="5">
        <v>31</v>
      </c>
      <c r="R29" t="s">
        <v>99</v>
      </c>
      <c r="S29" t="s">
        <v>104</v>
      </c>
      <c r="T29" t="s">
        <v>139</v>
      </c>
    </row>
    <row r="30" spans="1:20">
      <c r="A30">
        <v>37</v>
      </c>
      <c r="B30" s="1">
        <v>721398</v>
      </c>
      <c r="C30" t="s">
        <v>80</v>
      </c>
      <c r="D30" s="2">
        <v>44819</v>
      </c>
      <c r="E30" t="s">
        <v>130</v>
      </c>
      <c r="F30" t="s">
        <v>146</v>
      </c>
      <c r="G30" t="s">
        <v>22</v>
      </c>
      <c r="H30" t="s">
        <v>49</v>
      </c>
      <c r="I30" t="s">
        <v>24</v>
      </c>
      <c r="J30" t="s">
        <v>24</v>
      </c>
      <c r="K30" t="s">
        <v>25</v>
      </c>
      <c r="L30" t="s">
        <v>24</v>
      </c>
      <c r="M30" s="10">
        <v>828</v>
      </c>
      <c r="N30" s="7">
        <v>0.33500000000000002</v>
      </c>
      <c r="O30" s="5">
        <v>32</v>
      </c>
      <c r="P30" s="6" t="s">
        <v>52</v>
      </c>
      <c r="Q30" s="5">
        <v>29</v>
      </c>
      <c r="R30" t="s">
        <v>99</v>
      </c>
      <c r="S30" t="s">
        <v>137</v>
      </c>
      <c r="T30" t="s">
        <v>141</v>
      </c>
    </row>
    <row r="31" spans="1:20">
      <c r="A31">
        <v>29</v>
      </c>
      <c r="B31" s="1">
        <v>720702</v>
      </c>
      <c r="C31" t="s">
        <v>118</v>
      </c>
      <c r="D31" s="2">
        <v>44862</v>
      </c>
      <c r="E31" t="s">
        <v>107</v>
      </c>
      <c r="F31" t="s">
        <v>105</v>
      </c>
      <c r="G31" t="s">
        <v>41</v>
      </c>
      <c r="H31" t="s">
        <v>32</v>
      </c>
      <c r="I31" t="s">
        <v>25</v>
      </c>
      <c r="J31" t="s">
        <v>25</v>
      </c>
      <c r="K31" t="s">
        <v>25</v>
      </c>
      <c r="L31" t="s">
        <v>25</v>
      </c>
      <c r="M31" s="10">
        <v>650</v>
      </c>
      <c r="N31" s="7" t="s">
        <v>27</v>
      </c>
      <c r="O31" s="5">
        <v>15</v>
      </c>
      <c r="P31" s="6" t="s">
        <v>106</v>
      </c>
      <c r="Q31" s="5">
        <v>19</v>
      </c>
      <c r="R31" t="s">
        <v>99</v>
      </c>
      <c r="T31" t="s">
        <v>141</v>
      </c>
    </row>
    <row r="32" spans="1:20">
      <c r="A32">
        <v>30</v>
      </c>
      <c r="B32" s="1">
        <v>720702</v>
      </c>
      <c r="C32" t="s">
        <v>118</v>
      </c>
      <c r="D32" s="2">
        <v>44862</v>
      </c>
      <c r="E32" t="s">
        <v>108</v>
      </c>
      <c r="F32" t="s">
        <v>109</v>
      </c>
      <c r="G32" t="s">
        <v>41</v>
      </c>
      <c r="H32" t="s">
        <v>23</v>
      </c>
      <c r="I32" t="s">
        <v>25</v>
      </c>
      <c r="J32" t="s">
        <v>25</v>
      </c>
      <c r="K32" t="s">
        <v>25</v>
      </c>
      <c r="L32" t="s">
        <v>25</v>
      </c>
      <c r="M32" s="10">
        <v>756</v>
      </c>
      <c r="N32" s="7" t="s">
        <v>27</v>
      </c>
      <c r="O32" s="5">
        <v>30</v>
      </c>
      <c r="P32" s="6" t="s">
        <v>54</v>
      </c>
      <c r="Q32" s="5">
        <v>23</v>
      </c>
      <c r="R32" t="s">
        <v>99</v>
      </c>
      <c r="T32" t="s">
        <v>141</v>
      </c>
    </row>
    <row r="33" spans="1:20">
      <c r="A33">
        <v>31</v>
      </c>
      <c r="B33" s="1">
        <v>720702</v>
      </c>
      <c r="C33" t="s">
        <v>118</v>
      </c>
      <c r="D33" s="2">
        <v>44862</v>
      </c>
      <c r="E33" t="s">
        <v>110</v>
      </c>
      <c r="F33" t="s">
        <v>111</v>
      </c>
      <c r="G33" t="s">
        <v>48</v>
      </c>
      <c r="H33" t="s">
        <v>49</v>
      </c>
      <c r="I33" t="s">
        <v>25</v>
      </c>
      <c r="J33" t="s">
        <v>25</v>
      </c>
      <c r="K33" t="s">
        <v>25</v>
      </c>
      <c r="L33" t="s">
        <v>25</v>
      </c>
      <c r="M33" s="10">
        <v>607</v>
      </c>
      <c r="N33" s="7" t="s">
        <v>27</v>
      </c>
      <c r="O33" s="5">
        <v>30</v>
      </c>
      <c r="P33" s="6" t="s">
        <v>54</v>
      </c>
      <c r="Q33" s="5">
        <v>23</v>
      </c>
      <c r="R33" t="s">
        <v>99</v>
      </c>
      <c r="S33" t="s">
        <v>114</v>
      </c>
      <c r="T33" t="s">
        <v>141</v>
      </c>
    </row>
    <row r="34" spans="1:20">
      <c r="A34">
        <v>32</v>
      </c>
      <c r="B34" s="1">
        <v>720702</v>
      </c>
      <c r="C34" t="s">
        <v>118</v>
      </c>
      <c r="D34" s="2">
        <v>44862</v>
      </c>
      <c r="E34" t="s">
        <v>113</v>
      </c>
      <c r="F34" t="s">
        <v>111</v>
      </c>
      <c r="G34" t="s">
        <v>66</v>
      </c>
      <c r="H34" t="s">
        <v>112</v>
      </c>
      <c r="I34" t="s">
        <v>25</v>
      </c>
      <c r="J34" t="s">
        <v>25</v>
      </c>
      <c r="K34" t="s">
        <v>25</v>
      </c>
      <c r="L34" t="s">
        <v>25</v>
      </c>
      <c r="M34" s="10">
        <v>630</v>
      </c>
      <c r="N34" s="7" t="s">
        <v>27</v>
      </c>
      <c r="O34" s="5">
        <v>23</v>
      </c>
      <c r="P34" s="6" t="s">
        <v>54</v>
      </c>
      <c r="Q34" s="5">
        <v>19</v>
      </c>
      <c r="R34" t="s">
        <v>99</v>
      </c>
      <c r="S34" t="s">
        <v>115</v>
      </c>
      <c r="T34" t="s">
        <v>141</v>
      </c>
    </row>
    <row r="35" spans="1:20">
      <c r="A35">
        <v>33</v>
      </c>
      <c r="B35" s="1">
        <v>720702</v>
      </c>
      <c r="C35" t="s">
        <v>118</v>
      </c>
      <c r="D35" s="2">
        <v>44862</v>
      </c>
      <c r="E35" t="s">
        <v>116</v>
      </c>
      <c r="F35" t="s">
        <v>117</v>
      </c>
      <c r="G35" t="s">
        <v>66</v>
      </c>
      <c r="H35" t="s">
        <v>77</v>
      </c>
      <c r="I35" t="s">
        <v>25</v>
      </c>
      <c r="J35" t="s">
        <v>25</v>
      </c>
      <c r="K35" t="s">
        <v>25</v>
      </c>
      <c r="L35" t="s">
        <v>25</v>
      </c>
      <c r="M35" s="10">
        <v>450</v>
      </c>
      <c r="N35" s="7" t="s">
        <v>27</v>
      </c>
      <c r="O35" s="5">
        <v>35</v>
      </c>
      <c r="P35" s="6" t="s">
        <v>54</v>
      </c>
      <c r="Q35" s="5">
        <v>23</v>
      </c>
      <c r="R35" t="s">
        <v>99</v>
      </c>
      <c r="T35" t="s">
        <v>141</v>
      </c>
    </row>
    <row r="36" spans="1:20">
      <c r="A36">
        <v>34</v>
      </c>
      <c r="B36" s="1">
        <v>721917</v>
      </c>
      <c r="C36" t="s">
        <v>125</v>
      </c>
      <c r="D36" s="2">
        <v>44876</v>
      </c>
      <c r="E36" t="s">
        <v>119</v>
      </c>
      <c r="F36" t="s">
        <v>120</v>
      </c>
      <c r="G36" t="s">
        <v>22</v>
      </c>
      <c r="H36" t="s">
        <v>23</v>
      </c>
      <c r="I36" t="s">
        <v>24</v>
      </c>
      <c r="J36" t="s">
        <v>24</v>
      </c>
      <c r="K36" t="s">
        <v>25</v>
      </c>
      <c r="L36" t="s">
        <v>24</v>
      </c>
      <c r="M36" s="10">
        <v>730</v>
      </c>
      <c r="N36" s="7">
        <v>4.8999999999999998E-3</v>
      </c>
      <c r="O36" s="5">
        <v>39.5</v>
      </c>
      <c r="P36" s="6" t="s">
        <v>54</v>
      </c>
      <c r="Q36" s="5">
        <v>43</v>
      </c>
      <c r="R36" t="s">
        <v>99</v>
      </c>
      <c r="T36" t="s">
        <v>139</v>
      </c>
    </row>
    <row r="37" spans="1:20">
      <c r="A37">
        <v>35</v>
      </c>
      <c r="B37" s="1">
        <v>820297</v>
      </c>
      <c r="C37" t="s">
        <v>121</v>
      </c>
      <c r="D37" s="2">
        <v>44882</v>
      </c>
      <c r="E37" t="s">
        <v>122</v>
      </c>
      <c r="F37" t="s">
        <v>123</v>
      </c>
      <c r="G37" t="s">
        <v>22</v>
      </c>
      <c r="H37" t="s">
        <v>32</v>
      </c>
      <c r="I37" t="s">
        <v>24</v>
      </c>
      <c r="J37" t="s">
        <v>25</v>
      </c>
      <c r="K37" t="s">
        <v>25</v>
      </c>
      <c r="L37" t="s">
        <v>24</v>
      </c>
      <c r="M37" s="10">
        <v>338</v>
      </c>
      <c r="N37" s="7">
        <v>2.8400000000000002E-2</v>
      </c>
      <c r="O37" s="5">
        <v>33.5</v>
      </c>
      <c r="P37" s="6" t="s">
        <v>54</v>
      </c>
      <c r="Q37" s="5">
        <v>36.5</v>
      </c>
      <c r="R37" t="s">
        <v>124</v>
      </c>
      <c r="T37" t="s">
        <v>139</v>
      </c>
    </row>
    <row r="38" spans="1:20">
      <c r="A38">
        <v>36</v>
      </c>
      <c r="B38" s="1">
        <v>721585</v>
      </c>
      <c r="C38" t="s">
        <v>126</v>
      </c>
      <c r="D38" s="2">
        <v>44888</v>
      </c>
      <c r="E38" t="s">
        <v>127</v>
      </c>
      <c r="F38" t="s">
        <v>128</v>
      </c>
      <c r="G38" t="s">
        <v>22</v>
      </c>
      <c r="H38" t="s">
        <v>78</v>
      </c>
      <c r="I38" t="s">
        <v>24</v>
      </c>
      <c r="J38" t="s">
        <v>24</v>
      </c>
      <c r="K38" t="s">
        <v>25</v>
      </c>
      <c r="L38" t="s">
        <v>24</v>
      </c>
      <c r="M38" s="10">
        <v>321</v>
      </c>
      <c r="N38" s="7" t="s">
        <v>27</v>
      </c>
      <c r="O38" s="5">
        <v>32.5</v>
      </c>
      <c r="P38" s="6" t="s">
        <v>54</v>
      </c>
      <c r="Q38" s="5">
        <v>33</v>
      </c>
      <c r="R38" t="s">
        <v>99</v>
      </c>
      <c r="S38" t="s">
        <v>129</v>
      </c>
      <c r="T38" t="s">
        <v>139</v>
      </c>
    </row>
    <row r="39" spans="1:20">
      <c r="A39">
        <v>38</v>
      </c>
      <c r="B39" s="1">
        <v>722153</v>
      </c>
      <c r="C39" t="s">
        <v>144</v>
      </c>
      <c r="D39" s="2">
        <v>44929</v>
      </c>
      <c r="E39" t="s">
        <v>132</v>
      </c>
      <c r="F39" t="s">
        <v>145</v>
      </c>
      <c r="G39" t="s">
        <v>22</v>
      </c>
      <c r="H39" t="s">
        <v>23</v>
      </c>
      <c r="I39" t="s">
        <v>24</v>
      </c>
      <c r="J39" t="s">
        <v>25</v>
      </c>
      <c r="K39" t="s">
        <v>25</v>
      </c>
      <c r="L39" t="s">
        <v>24</v>
      </c>
      <c r="M39" s="10">
        <v>504</v>
      </c>
      <c r="N39" s="7">
        <v>2.6100000000000002E-2</v>
      </c>
      <c r="O39" s="5">
        <v>26</v>
      </c>
      <c r="P39" s="6" t="s">
        <v>52</v>
      </c>
      <c r="Q39" s="5">
        <v>32</v>
      </c>
      <c r="R39" t="s">
        <v>99</v>
      </c>
      <c r="T39" t="s">
        <v>141</v>
      </c>
    </row>
    <row r="40" spans="1:20">
      <c r="A40">
        <v>39</v>
      </c>
      <c r="B40" s="1">
        <v>722116</v>
      </c>
      <c r="C40" t="s">
        <v>143</v>
      </c>
      <c r="D40" s="2">
        <v>44929</v>
      </c>
      <c r="E40" t="s">
        <v>133</v>
      </c>
      <c r="F40" t="s">
        <v>134</v>
      </c>
      <c r="G40" t="s">
        <v>41</v>
      </c>
      <c r="H40" t="s">
        <v>135</v>
      </c>
      <c r="I40" t="s">
        <v>24</v>
      </c>
      <c r="J40" t="s">
        <v>25</v>
      </c>
      <c r="K40" t="s">
        <v>25</v>
      </c>
      <c r="L40" t="s">
        <v>24</v>
      </c>
      <c r="M40" s="10">
        <v>479</v>
      </c>
      <c r="N40" s="7" t="s">
        <v>27</v>
      </c>
      <c r="O40" s="5">
        <v>23</v>
      </c>
      <c r="P40" s="6" t="s">
        <v>54</v>
      </c>
      <c r="Q40" s="5">
        <v>45</v>
      </c>
      <c r="R40" t="s">
        <v>99</v>
      </c>
      <c r="S40" t="s">
        <v>136</v>
      </c>
      <c r="T40" t="s">
        <v>141</v>
      </c>
    </row>
    <row r="41" spans="1:20">
      <c r="A41">
        <v>40</v>
      </c>
      <c r="B41" s="1">
        <v>801043</v>
      </c>
      <c r="C41" t="s">
        <v>142</v>
      </c>
      <c r="D41" s="2">
        <v>44938</v>
      </c>
      <c r="E41" t="s">
        <v>157</v>
      </c>
      <c r="F41" t="s">
        <v>158</v>
      </c>
      <c r="G41" t="s">
        <v>41</v>
      </c>
      <c r="H41" t="s">
        <v>49</v>
      </c>
      <c r="I41" t="s">
        <v>24</v>
      </c>
      <c r="J41" t="s">
        <v>24</v>
      </c>
      <c r="K41" t="s">
        <v>24</v>
      </c>
      <c r="L41" t="s">
        <v>24</v>
      </c>
      <c r="M41" s="10">
        <v>582</v>
      </c>
      <c r="N41" s="7" t="s">
        <v>27</v>
      </c>
      <c r="O41" s="5">
        <v>23.5</v>
      </c>
      <c r="P41" s="6" t="s">
        <v>54</v>
      </c>
      <c r="Q41" s="5">
        <v>22</v>
      </c>
      <c r="R41" t="s">
        <v>147</v>
      </c>
      <c r="S41" t="s">
        <v>148</v>
      </c>
      <c r="T41" t="s">
        <v>139</v>
      </c>
    </row>
    <row r="42" spans="1:20">
      <c r="A42">
        <v>41</v>
      </c>
      <c r="B42" s="1">
        <v>720917</v>
      </c>
      <c r="C42" t="s">
        <v>149</v>
      </c>
      <c r="D42" s="2">
        <v>44938</v>
      </c>
      <c r="E42" t="s">
        <v>154</v>
      </c>
      <c r="F42" t="s">
        <v>153</v>
      </c>
      <c r="G42" t="s">
        <v>152</v>
      </c>
      <c r="H42" t="s">
        <v>62</v>
      </c>
      <c r="I42" t="s">
        <v>24</v>
      </c>
      <c r="J42" t="s">
        <v>25</v>
      </c>
      <c r="K42" t="s">
        <v>25</v>
      </c>
      <c r="L42" t="s">
        <v>24</v>
      </c>
      <c r="M42" s="10">
        <v>868</v>
      </c>
      <c r="N42" s="7" t="s">
        <v>27</v>
      </c>
      <c r="O42" s="5">
        <v>22</v>
      </c>
      <c r="P42" s="6" t="s">
        <v>54</v>
      </c>
      <c r="Q42" s="5">
        <v>13</v>
      </c>
      <c r="R42" t="s">
        <v>99</v>
      </c>
      <c r="S42" t="s">
        <v>159</v>
      </c>
      <c r="T42" t="s">
        <v>139</v>
      </c>
    </row>
    <row r="43" spans="1:20">
      <c r="A43">
        <v>42</v>
      </c>
      <c r="B43" s="1">
        <v>720917</v>
      </c>
      <c r="C43" t="s">
        <v>149</v>
      </c>
      <c r="D43" s="2">
        <v>44938</v>
      </c>
      <c r="E43" t="s">
        <v>150</v>
      </c>
      <c r="F43" t="s">
        <v>151</v>
      </c>
      <c r="G43" t="s">
        <v>41</v>
      </c>
      <c r="H43" t="s">
        <v>78</v>
      </c>
      <c r="I43" t="s">
        <v>24</v>
      </c>
      <c r="J43" t="s">
        <v>25</v>
      </c>
      <c r="K43" t="s">
        <v>25</v>
      </c>
      <c r="L43" t="s">
        <v>24</v>
      </c>
      <c r="M43" s="10">
        <v>644</v>
      </c>
      <c r="N43" s="7" t="s">
        <v>27</v>
      </c>
      <c r="O43" s="5">
        <v>31</v>
      </c>
      <c r="P43" s="6" t="s">
        <v>54</v>
      </c>
      <c r="Q43" s="5">
        <v>16</v>
      </c>
      <c r="R43" t="s">
        <v>99</v>
      </c>
      <c r="S43" t="s">
        <v>160</v>
      </c>
      <c r="T43" t="s">
        <v>139</v>
      </c>
    </row>
    <row r="44" spans="1:20">
      <c r="A44">
        <v>43</v>
      </c>
      <c r="B44" s="1">
        <v>720917</v>
      </c>
      <c r="C44" t="s">
        <v>149</v>
      </c>
      <c r="D44" s="2">
        <v>44938</v>
      </c>
      <c r="E44" t="s">
        <v>155</v>
      </c>
      <c r="F44" t="s">
        <v>156</v>
      </c>
      <c r="G44" t="s">
        <v>152</v>
      </c>
      <c r="H44" t="s">
        <v>78</v>
      </c>
      <c r="I44" t="s">
        <v>24</v>
      </c>
      <c r="J44" t="s">
        <v>25</v>
      </c>
      <c r="K44" t="s">
        <v>25</v>
      </c>
      <c r="L44" t="s">
        <v>24</v>
      </c>
      <c r="M44" s="10">
        <v>1288</v>
      </c>
      <c r="N44" s="7" t="s">
        <v>27</v>
      </c>
      <c r="O44" s="5">
        <v>14</v>
      </c>
      <c r="P44" s="6" t="s">
        <v>54</v>
      </c>
      <c r="Q44" s="5">
        <v>9</v>
      </c>
      <c r="R44" t="s">
        <v>99</v>
      </c>
      <c r="T44" t="s">
        <v>139</v>
      </c>
    </row>
    <row r="45" spans="1:20">
      <c r="A45">
        <v>44</v>
      </c>
      <c r="B45" s="1">
        <v>722247</v>
      </c>
      <c r="C45" t="s">
        <v>161</v>
      </c>
      <c r="D45" s="2">
        <v>44963</v>
      </c>
      <c r="E45" t="s">
        <v>163</v>
      </c>
      <c r="F45" t="s">
        <v>103</v>
      </c>
      <c r="G45" t="s">
        <v>22</v>
      </c>
      <c r="H45" t="s">
        <v>77</v>
      </c>
      <c r="I45" t="s">
        <v>24</v>
      </c>
      <c r="J45" t="s">
        <v>24</v>
      </c>
      <c r="K45" t="s">
        <v>25</v>
      </c>
      <c r="L45" t="s">
        <v>24</v>
      </c>
      <c r="M45" s="10">
        <v>379</v>
      </c>
      <c r="N45" s="7" t="s">
        <v>27</v>
      </c>
      <c r="O45" s="5">
        <v>33</v>
      </c>
      <c r="P45" s="6" t="s">
        <v>54</v>
      </c>
      <c r="Q45" s="5">
        <v>32.5</v>
      </c>
      <c r="R45" t="s">
        <v>99</v>
      </c>
      <c r="S45" t="s">
        <v>162</v>
      </c>
      <c r="T45" t="s">
        <v>139</v>
      </c>
    </row>
    <row r="46" spans="1:20">
      <c r="A46">
        <v>45</v>
      </c>
      <c r="B46" s="1">
        <v>722247</v>
      </c>
      <c r="C46" t="s">
        <v>161</v>
      </c>
      <c r="D46" s="2">
        <v>44963</v>
      </c>
      <c r="E46" t="s">
        <v>164</v>
      </c>
      <c r="F46" t="s">
        <v>103</v>
      </c>
      <c r="G46" t="s">
        <v>41</v>
      </c>
      <c r="H46" t="s">
        <v>77</v>
      </c>
      <c r="I46" t="s">
        <v>24</v>
      </c>
      <c r="J46" t="s">
        <v>25</v>
      </c>
      <c r="K46" t="s">
        <v>25</v>
      </c>
      <c r="L46" t="s">
        <v>24</v>
      </c>
      <c r="M46" s="10">
        <v>429</v>
      </c>
      <c r="N46" s="7" t="s">
        <v>27</v>
      </c>
      <c r="O46" s="5">
        <v>38</v>
      </c>
      <c r="P46" s="6" t="s">
        <v>54</v>
      </c>
      <c r="Q46" s="5">
        <v>36</v>
      </c>
      <c r="R46" t="s">
        <v>99</v>
      </c>
      <c r="S46" t="s">
        <v>162</v>
      </c>
      <c r="T46" t="s">
        <v>139</v>
      </c>
    </row>
    <row r="47" spans="1:20">
      <c r="A47">
        <v>46</v>
      </c>
      <c r="B47" s="1">
        <v>730174</v>
      </c>
      <c r="C47" t="s">
        <v>165</v>
      </c>
      <c r="D47" s="2">
        <v>44977</v>
      </c>
      <c r="E47" t="s">
        <v>166</v>
      </c>
      <c r="F47" t="s">
        <v>166</v>
      </c>
      <c r="G47" t="s">
        <v>22</v>
      </c>
      <c r="H47" t="s">
        <v>32</v>
      </c>
      <c r="I47" t="s">
        <v>24</v>
      </c>
      <c r="J47" t="s">
        <v>25</v>
      </c>
      <c r="K47" t="s">
        <v>25</v>
      </c>
      <c r="L47" t="s">
        <v>24</v>
      </c>
      <c r="M47" s="10">
        <v>430</v>
      </c>
      <c r="N47" s="7">
        <v>7.0000000000000001E-3</v>
      </c>
      <c r="O47" s="5">
        <v>45</v>
      </c>
      <c r="P47" s="6" t="s">
        <v>52</v>
      </c>
      <c r="Q47" s="5">
        <v>46</v>
      </c>
      <c r="R47" t="s">
        <v>99</v>
      </c>
      <c r="T47" t="s">
        <v>141</v>
      </c>
    </row>
    <row r="48" spans="1:20">
      <c r="A48">
        <v>47</v>
      </c>
      <c r="B48" s="1">
        <v>821163</v>
      </c>
      <c r="C48" t="s">
        <v>167</v>
      </c>
      <c r="D48" s="2">
        <v>44999</v>
      </c>
      <c r="E48" t="s">
        <v>168</v>
      </c>
      <c r="F48" t="s">
        <v>51</v>
      </c>
      <c r="G48" t="s">
        <v>22</v>
      </c>
      <c r="H48" t="s">
        <v>23</v>
      </c>
      <c r="I48" t="s">
        <v>24</v>
      </c>
      <c r="J48" t="s">
        <v>25</v>
      </c>
      <c r="K48" t="s">
        <v>25</v>
      </c>
      <c r="L48" t="s">
        <v>25</v>
      </c>
      <c r="M48" s="10">
        <v>1217</v>
      </c>
      <c r="N48" s="7">
        <v>2.9999999999999997E-4</v>
      </c>
      <c r="O48" s="5">
        <v>29</v>
      </c>
      <c r="P48" s="6" t="s">
        <v>54</v>
      </c>
      <c r="Q48" s="5">
        <v>31.5</v>
      </c>
      <c r="R48" t="s">
        <v>169</v>
      </c>
      <c r="S48" t="s">
        <v>170</v>
      </c>
      <c r="T48" t="s">
        <v>140</v>
      </c>
    </row>
    <row r="49" spans="1:20">
      <c r="A49">
        <v>48</v>
      </c>
      <c r="B49" s="1">
        <v>721553</v>
      </c>
      <c r="C49" t="s">
        <v>171</v>
      </c>
      <c r="D49" s="2">
        <v>45058</v>
      </c>
      <c r="E49" t="s">
        <v>172</v>
      </c>
      <c r="F49" t="s">
        <v>46</v>
      </c>
      <c r="G49" t="s">
        <v>41</v>
      </c>
      <c r="H49" t="s">
        <v>23</v>
      </c>
      <c r="I49" t="s">
        <v>24</v>
      </c>
      <c r="J49" t="s">
        <v>25</v>
      </c>
      <c r="K49" t="s">
        <v>25</v>
      </c>
      <c r="L49" t="s">
        <v>24</v>
      </c>
      <c r="M49" s="10">
        <v>813</v>
      </c>
      <c r="N49" s="7" t="s">
        <v>27</v>
      </c>
      <c r="O49" s="5">
        <v>20</v>
      </c>
      <c r="P49" s="6" t="s">
        <v>54</v>
      </c>
      <c r="Q49" s="5">
        <v>16</v>
      </c>
      <c r="R49" t="s">
        <v>99</v>
      </c>
      <c r="T49" t="s">
        <v>140</v>
      </c>
    </row>
    <row r="50" spans="1:20">
      <c r="A50">
        <v>49</v>
      </c>
      <c r="B50" s="1">
        <v>721553</v>
      </c>
      <c r="C50" t="s">
        <v>171</v>
      </c>
      <c r="D50" s="2">
        <v>45058</v>
      </c>
      <c r="E50" t="s">
        <v>173</v>
      </c>
      <c r="F50" t="s">
        <v>174</v>
      </c>
      <c r="G50" t="s">
        <v>22</v>
      </c>
      <c r="H50" t="s">
        <v>23</v>
      </c>
      <c r="I50" t="s">
        <v>24</v>
      </c>
      <c r="J50" t="s">
        <v>24</v>
      </c>
      <c r="K50" t="s">
        <v>25</v>
      </c>
      <c r="L50" t="s">
        <v>24</v>
      </c>
      <c r="M50" s="10">
        <v>579</v>
      </c>
      <c r="N50" s="7" t="s">
        <v>27</v>
      </c>
      <c r="O50" s="5">
        <v>30</v>
      </c>
      <c r="P50" s="6" t="s">
        <v>52</v>
      </c>
      <c r="Q50" s="5">
        <v>30</v>
      </c>
      <c r="R50" t="s">
        <v>99</v>
      </c>
      <c r="T50" t="s">
        <v>140</v>
      </c>
    </row>
    <row r="51" spans="1:20">
      <c r="A51">
        <v>50</v>
      </c>
      <c r="B51" s="1">
        <v>730638</v>
      </c>
      <c r="C51" t="s">
        <v>175</v>
      </c>
      <c r="D51" s="2">
        <v>45058</v>
      </c>
      <c r="E51" t="s">
        <v>176</v>
      </c>
      <c r="F51" t="s">
        <v>177</v>
      </c>
      <c r="G51" t="s">
        <v>22</v>
      </c>
      <c r="H51" t="s">
        <v>23</v>
      </c>
      <c r="I51" t="s">
        <v>24</v>
      </c>
      <c r="J51" t="s">
        <v>24</v>
      </c>
      <c r="K51" t="s">
        <v>25</v>
      </c>
      <c r="L51" t="s">
        <v>24</v>
      </c>
      <c r="M51" s="10">
        <v>700</v>
      </c>
      <c r="N51" s="7">
        <v>5.4999999999999997E-3</v>
      </c>
      <c r="O51" s="5">
        <v>30</v>
      </c>
      <c r="P51" s="6" t="s">
        <v>54</v>
      </c>
      <c r="Q51" s="5">
        <v>40</v>
      </c>
      <c r="R51" t="s">
        <v>99</v>
      </c>
      <c r="S51" t="s">
        <v>178</v>
      </c>
      <c r="T51" t="s">
        <v>140</v>
      </c>
    </row>
    <row r="52" spans="1:20">
      <c r="A52">
        <v>51</v>
      </c>
      <c r="B52" s="1">
        <v>830621</v>
      </c>
      <c r="C52" t="s">
        <v>179</v>
      </c>
      <c r="D52" s="2">
        <v>45082</v>
      </c>
      <c r="E52" t="s">
        <v>181</v>
      </c>
      <c r="F52" t="s">
        <v>180</v>
      </c>
      <c r="G52" t="s">
        <v>22</v>
      </c>
      <c r="H52" t="s">
        <v>23</v>
      </c>
      <c r="I52" t="s">
        <v>25</v>
      </c>
      <c r="J52" t="s">
        <v>25</v>
      </c>
      <c r="K52" t="s">
        <v>24</v>
      </c>
      <c r="L52" t="s">
        <v>24</v>
      </c>
      <c r="M52" s="10">
        <v>459</v>
      </c>
      <c r="N52" s="7" t="s">
        <v>27</v>
      </c>
      <c r="O52" s="5">
        <v>35</v>
      </c>
      <c r="P52" s="6" t="s">
        <v>52</v>
      </c>
      <c r="Q52" s="5">
        <v>35</v>
      </c>
      <c r="R52" t="s">
        <v>99</v>
      </c>
      <c r="T52" t="s">
        <v>182</v>
      </c>
    </row>
    <row r="53" spans="1:20">
      <c r="A53">
        <v>52</v>
      </c>
      <c r="B53" s="1">
        <v>730723</v>
      </c>
      <c r="C53" t="s">
        <v>183</v>
      </c>
      <c r="D53" s="2">
        <v>45153</v>
      </c>
      <c r="E53" t="s">
        <v>184</v>
      </c>
      <c r="F53" t="s">
        <v>187</v>
      </c>
      <c r="G53" t="s">
        <v>41</v>
      </c>
      <c r="H53" t="s">
        <v>32</v>
      </c>
      <c r="I53" t="s">
        <v>24</v>
      </c>
      <c r="J53" t="s">
        <v>25</v>
      </c>
      <c r="K53" t="s">
        <v>25</v>
      </c>
      <c r="L53" t="s">
        <v>24</v>
      </c>
      <c r="M53" s="10">
        <v>1400</v>
      </c>
      <c r="N53" s="7"/>
      <c r="O53" s="5"/>
      <c r="P53" s="6"/>
      <c r="Q53" s="5"/>
      <c r="R53" t="s">
        <v>99</v>
      </c>
      <c r="T53" t="s">
        <v>182</v>
      </c>
    </row>
    <row r="54" spans="1:20">
      <c r="A54">
        <v>53</v>
      </c>
      <c r="B54" s="1">
        <v>730723</v>
      </c>
      <c r="C54" t="s">
        <v>183</v>
      </c>
      <c r="D54" s="2">
        <v>45153</v>
      </c>
      <c r="E54" t="s">
        <v>186</v>
      </c>
      <c r="F54" t="s">
        <v>188</v>
      </c>
      <c r="G54" t="s">
        <v>41</v>
      </c>
      <c r="H54" t="s">
        <v>32</v>
      </c>
      <c r="I54" t="s">
        <v>24</v>
      </c>
      <c r="J54" t="s">
        <v>25</v>
      </c>
      <c r="K54" t="s">
        <v>25</v>
      </c>
      <c r="L54" t="s">
        <v>24</v>
      </c>
      <c r="M54" s="10">
        <v>1520</v>
      </c>
      <c r="N54" s="7"/>
      <c r="O54" s="5"/>
      <c r="P54" s="6"/>
      <c r="Q54" s="5"/>
      <c r="R54" t="s">
        <v>99</v>
      </c>
      <c r="T54" t="s">
        <v>182</v>
      </c>
    </row>
    <row r="55" spans="1:20">
      <c r="A55">
        <v>54</v>
      </c>
      <c r="B55" s="1">
        <v>730723</v>
      </c>
      <c r="C55" t="s">
        <v>183</v>
      </c>
      <c r="D55" s="2">
        <v>45153</v>
      </c>
      <c r="E55" t="s">
        <v>185</v>
      </c>
      <c r="F55" t="s">
        <v>189</v>
      </c>
      <c r="G55" t="s">
        <v>41</v>
      </c>
      <c r="H55" t="s">
        <v>32</v>
      </c>
      <c r="I55" t="s">
        <v>24</v>
      </c>
      <c r="J55" t="s">
        <v>25</v>
      </c>
      <c r="K55" t="s">
        <v>25</v>
      </c>
      <c r="L55" t="s">
        <v>24</v>
      </c>
      <c r="M55" s="10">
        <v>1672</v>
      </c>
      <c r="N55" s="7"/>
      <c r="O55" s="5"/>
      <c r="P55" s="6"/>
      <c r="Q55" s="5"/>
      <c r="R55" t="s">
        <v>99</v>
      </c>
      <c r="T55" t="s">
        <v>182</v>
      </c>
    </row>
    <row r="56" spans="1:20">
      <c r="A56">
        <v>55</v>
      </c>
      <c r="B56" s="1">
        <v>731296</v>
      </c>
      <c r="C56" t="s">
        <v>191</v>
      </c>
      <c r="D56" s="2">
        <v>45163</v>
      </c>
      <c r="E56" t="s">
        <v>190</v>
      </c>
      <c r="F56" t="s">
        <v>197</v>
      </c>
      <c r="G56" t="s">
        <v>22</v>
      </c>
      <c r="H56" t="s">
        <v>23</v>
      </c>
      <c r="I56" t="s">
        <v>24</v>
      </c>
      <c r="J56" t="s">
        <v>25</v>
      </c>
      <c r="K56" t="s">
        <v>25</v>
      </c>
      <c r="L56" t="s">
        <v>24</v>
      </c>
      <c r="M56" s="10">
        <v>787</v>
      </c>
      <c r="N56" s="7" t="s">
        <v>27</v>
      </c>
      <c r="O56" s="5">
        <v>5</v>
      </c>
      <c r="P56" s="6" t="s">
        <v>106</v>
      </c>
      <c r="Q56" s="5">
        <v>45</v>
      </c>
      <c r="R56" t="s">
        <v>99</v>
      </c>
      <c r="S56" t="s">
        <v>178</v>
      </c>
      <c r="T56" t="s">
        <v>182</v>
      </c>
    </row>
    <row r="57" spans="1:20">
      <c r="A57">
        <v>56</v>
      </c>
      <c r="B57" s="1">
        <v>731437</v>
      </c>
      <c r="C57" t="s">
        <v>196</v>
      </c>
      <c r="D57" s="2">
        <v>45163</v>
      </c>
      <c r="E57" t="s">
        <v>192</v>
      </c>
      <c r="F57" t="s">
        <v>193</v>
      </c>
      <c r="G57" t="s">
        <v>22</v>
      </c>
      <c r="H57" t="s">
        <v>62</v>
      </c>
      <c r="I57" t="s">
        <v>24</v>
      </c>
      <c r="J57" t="s">
        <v>25</v>
      </c>
      <c r="K57" t="s">
        <v>25</v>
      </c>
      <c r="L57" t="s">
        <v>24</v>
      </c>
      <c r="M57" s="10">
        <v>555</v>
      </c>
      <c r="N57" s="7">
        <v>2.9499999999999998E-2</v>
      </c>
      <c r="O57" s="5">
        <v>5</v>
      </c>
      <c r="P57" s="6" t="s">
        <v>106</v>
      </c>
      <c r="Q57" s="5">
        <v>34</v>
      </c>
      <c r="R57" t="s">
        <v>99</v>
      </c>
      <c r="T57" t="s">
        <v>182</v>
      </c>
    </row>
    <row r="58" spans="1:20">
      <c r="A58">
        <v>57</v>
      </c>
      <c r="B58" s="1">
        <v>731437</v>
      </c>
      <c r="C58" t="s">
        <v>196</v>
      </c>
      <c r="D58" s="2">
        <v>45163</v>
      </c>
      <c r="E58" t="s">
        <v>194</v>
      </c>
      <c r="F58" t="s">
        <v>195</v>
      </c>
      <c r="G58" t="s">
        <v>22</v>
      </c>
      <c r="H58" t="s">
        <v>32</v>
      </c>
      <c r="I58" t="s">
        <v>24</v>
      </c>
      <c r="J58" t="s">
        <v>25</v>
      </c>
      <c r="K58" t="s">
        <v>25</v>
      </c>
      <c r="L58" t="s">
        <v>24</v>
      </c>
      <c r="M58" s="10">
        <v>852</v>
      </c>
      <c r="N58" s="7">
        <v>8.9499999999999996E-2</v>
      </c>
      <c r="O58" s="5">
        <v>20</v>
      </c>
      <c r="P58" s="6" t="s">
        <v>52</v>
      </c>
      <c r="Q58" s="5">
        <v>30</v>
      </c>
      <c r="R58" t="s">
        <v>99</v>
      </c>
      <c r="S58" t="s">
        <v>178</v>
      </c>
      <c r="T58" t="s">
        <v>182</v>
      </c>
    </row>
    <row r="59" spans="1:20">
      <c r="A59">
        <v>58</v>
      </c>
      <c r="B59" s="1">
        <v>730678</v>
      </c>
      <c r="C59" t="s">
        <v>198</v>
      </c>
      <c r="D59" s="2">
        <v>45019</v>
      </c>
      <c r="E59" s="16" t="s">
        <v>199</v>
      </c>
      <c r="F59" s="16" t="s">
        <v>200</v>
      </c>
      <c r="G59" t="s">
        <v>22</v>
      </c>
      <c r="H59" t="s">
        <v>23</v>
      </c>
      <c r="I59" t="s">
        <v>24</v>
      </c>
      <c r="J59" t="s">
        <v>25</v>
      </c>
      <c r="K59" t="s">
        <v>24</v>
      </c>
      <c r="L59" t="s">
        <v>25</v>
      </c>
      <c r="M59" s="10"/>
      <c r="N59" s="7"/>
      <c r="O59" s="5"/>
      <c r="P59" s="6"/>
      <c r="Q59" s="5"/>
      <c r="R59" t="s">
        <v>99</v>
      </c>
      <c r="S59" t="s">
        <v>202</v>
      </c>
    </row>
    <row r="60" spans="1:20">
      <c r="A60">
        <v>59</v>
      </c>
      <c r="B60" s="1">
        <v>730678</v>
      </c>
      <c r="C60" t="s">
        <v>198</v>
      </c>
      <c r="D60" s="2">
        <v>45019</v>
      </c>
      <c r="E60" s="16" t="s">
        <v>201</v>
      </c>
      <c r="F60" s="16" t="s">
        <v>200</v>
      </c>
      <c r="G60" t="s">
        <v>22</v>
      </c>
      <c r="H60" t="s">
        <v>23</v>
      </c>
      <c r="I60" t="s">
        <v>24</v>
      </c>
      <c r="J60" t="s">
        <v>25</v>
      </c>
      <c r="K60" t="s">
        <v>24</v>
      </c>
      <c r="L60" t="s">
        <v>25</v>
      </c>
      <c r="M60" s="10"/>
      <c r="N60" s="7"/>
      <c r="O60" s="5"/>
      <c r="P60" s="6"/>
      <c r="Q60" s="5"/>
      <c r="R60" t="s">
        <v>207</v>
      </c>
      <c r="S60" t="s">
        <v>203</v>
      </c>
    </row>
    <row r="61" spans="1:20" ht="12.65" customHeight="1">
      <c r="A61">
        <v>60</v>
      </c>
      <c r="B61" s="1">
        <v>830821</v>
      </c>
      <c r="C61" t="s">
        <v>204</v>
      </c>
      <c r="D61" s="2">
        <v>45107</v>
      </c>
      <c r="E61" s="17" t="s">
        <v>205</v>
      </c>
      <c r="F61" s="17" t="s">
        <v>206</v>
      </c>
      <c r="G61" t="s">
        <v>230</v>
      </c>
      <c r="M61" s="10"/>
      <c r="N61" s="7"/>
      <c r="O61" s="5"/>
      <c r="P61" s="6"/>
      <c r="Q61" s="5"/>
      <c r="R61" t="s">
        <v>207</v>
      </c>
      <c r="S61" t="s">
        <v>208</v>
      </c>
    </row>
    <row r="62" spans="1:20">
      <c r="A62">
        <v>61</v>
      </c>
      <c r="B62" s="1">
        <v>831066</v>
      </c>
      <c r="C62" t="s">
        <v>231</v>
      </c>
      <c r="D62" s="2">
        <v>45237</v>
      </c>
      <c r="E62" t="s">
        <v>232</v>
      </c>
      <c r="F62" t="s">
        <v>233</v>
      </c>
      <c r="G62" t="s">
        <v>22</v>
      </c>
      <c r="H62" t="s">
        <v>23</v>
      </c>
      <c r="I62" t="s">
        <v>24</v>
      </c>
      <c r="J62" t="s">
        <v>24</v>
      </c>
      <c r="K62" t="s">
        <v>24</v>
      </c>
      <c r="L62" t="s">
        <v>24</v>
      </c>
      <c r="M62" s="10">
        <v>630</v>
      </c>
      <c r="N62" s="7"/>
      <c r="O62" s="5">
        <v>30</v>
      </c>
      <c r="P62" s="6" t="s">
        <v>52</v>
      </c>
      <c r="Q62" s="5">
        <v>27</v>
      </c>
      <c r="R62" t="s">
        <v>234</v>
      </c>
    </row>
    <row r="63" spans="1:20">
      <c r="A63">
        <v>62</v>
      </c>
      <c r="B63" s="1">
        <v>831250</v>
      </c>
      <c r="C63" t="s">
        <v>235</v>
      </c>
      <c r="D63" s="2">
        <v>45267</v>
      </c>
      <c r="E63" t="s">
        <v>236</v>
      </c>
      <c r="F63" t="s">
        <v>237</v>
      </c>
      <c r="G63" t="s">
        <v>152</v>
      </c>
      <c r="H63" t="s">
        <v>32</v>
      </c>
      <c r="I63" t="s">
        <v>24</v>
      </c>
      <c r="J63" t="s">
        <v>25</v>
      </c>
      <c r="K63" t="s">
        <v>24</v>
      </c>
      <c r="L63" t="s">
        <v>25</v>
      </c>
      <c r="M63" s="10">
        <v>489</v>
      </c>
      <c r="N63" s="7"/>
      <c r="O63" s="5"/>
      <c r="P63" s="6"/>
      <c r="Q63" s="5"/>
      <c r="R63" t="s">
        <v>234</v>
      </c>
    </row>
    <row r="64" spans="1:20">
      <c r="A64">
        <v>63</v>
      </c>
      <c r="B64" s="1">
        <v>831250</v>
      </c>
      <c r="C64" t="s">
        <v>235</v>
      </c>
      <c r="D64" s="2">
        <v>45267</v>
      </c>
      <c r="E64" t="s">
        <v>238</v>
      </c>
      <c r="F64" t="s">
        <v>238</v>
      </c>
      <c r="G64" t="s">
        <v>112</v>
      </c>
      <c r="H64" t="s">
        <v>32</v>
      </c>
      <c r="I64" t="s">
        <v>24</v>
      </c>
      <c r="J64" t="s">
        <v>25</v>
      </c>
      <c r="K64" t="s">
        <v>24</v>
      </c>
      <c r="L64" t="s">
        <v>25</v>
      </c>
      <c r="M64" s="10">
        <v>546</v>
      </c>
      <c r="N64" s="7"/>
      <c r="O64" s="5"/>
      <c r="P64" s="6"/>
      <c r="Q64" s="5"/>
      <c r="R64" t="s">
        <v>234</v>
      </c>
    </row>
    <row r="65" spans="1:18">
      <c r="A65">
        <v>64</v>
      </c>
      <c r="B65" s="1">
        <v>831250</v>
      </c>
      <c r="C65" t="s">
        <v>235</v>
      </c>
      <c r="D65" s="2">
        <v>45267</v>
      </c>
      <c r="E65" t="s">
        <v>248</v>
      </c>
      <c r="F65" t="s">
        <v>248</v>
      </c>
      <c r="G65" t="s">
        <v>48</v>
      </c>
      <c r="H65" t="s">
        <v>32</v>
      </c>
      <c r="I65" t="s">
        <v>24</v>
      </c>
      <c r="J65" t="s">
        <v>25</v>
      </c>
      <c r="K65" t="s">
        <v>24</v>
      </c>
      <c r="L65" t="s">
        <v>25</v>
      </c>
      <c r="M65" s="10">
        <v>195</v>
      </c>
      <c r="N65" s="7"/>
      <c r="O65" s="5"/>
      <c r="P65" s="6"/>
      <c r="Q65" s="5"/>
      <c r="R65" t="s">
        <v>234</v>
      </c>
    </row>
    <row r="66" spans="1:18">
      <c r="A66">
        <v>65</v>
      </c>
      <c r="B66" s="1">
        <v>831250</v>
      </c>
      <c r="C66" t="s">
        <v>235</v>
      </c>
      <c r="D66" s="2">
        <v>45267</v>
      </c>
      <c r="E66" t="s">
        <v>239</v>
      </c>
      <c r="F66" t="s">
        <v>239</v>
      </c>
      <c r="G66" t="s">
        <v>112</v>
      </c>
      <c r="H66" t="s">
        <v>32</v>
      </c>
      <c r="I66" t="s">
        <v>24</v>
      </c>
      <c r="J66" t="s">
        <v>25</v>
      </c>
      <c r="K66" t="s">
        <v>24</v>
      </c>
      <c r="L66" t="s">
        <v>25</v>
      </c>
      <c r="M66" s="10">
        <v>166</v>
      </c>
      <c r="N66" s="7"/>
      <c r="O66" s="5"/>
      <c r="P66" s="6"/>
      <c r="Q66" s="5"/>
      <c r="R66" t="s">
        <v>234</v>
      </c>
    </row>
    <row r="67" spans="1:18">
      <c r="A67">
        <v>66</v>
      </c>
      <c r="B67" s="1">
        <v>831250</v>
      </c>
      <c r="C67" t="s">
        <v>235</v>
      </c>
      <c r="D67" s="2">
        <v>45267</v>
      </c>
      <c r="E67" t="s">
        <v>240</v>
      </c>
      <c r="F67" t="s">
        <v>241</v>
      </c>
      <c r="G67" t="s">
        <v>112</v>
      </c>
      <c r="H67" t="s">
        <v>49</v>
      </c>
      <c r="I67" t="s">
        <v>24</v>
      </c>
      <c r="J67" t="s">
        <v>25</v>
      </c>
      <c r="K67" t="s">
        <v>24</v>
      </c>
      <c r="L67" t="s">
        <v>25</v>
      </c>
      <c r="M67" s="10">
        <v>597.29999999999995</v>
      </c>
      <c r="N67" s="7"/>
      <c r="O67" s="5"/>
      <c r="P67" s="6"/>
      <c r="Q67" s="5"/>
      <c r="R67" t="s">
        <v>234</v>
      </c>
    </row>
    <row r="68" spans="1:18">
      <c r="A68">
        <v>67</v>
      </c>
      <c r="B68" s="1">
        <v>831250</v>
      </c>
      <c r="C68" t="s">
        <v>235</v>
      </c>
      <c r="D68" s="2">
        <v>45267</v>
      </c>
      <c r="E68" t="s">
        <v>242</v>
      </c>
      <c r="F68" t="s">
        <v>242</v>
      </c>
      <c r="G68" t="s">
        <v>48</v>
      </c>
      <c r="H68" t="s">
        <v>32</v>
      </c>
      <c r="I68" t="s">
        <v>24</v>
      </c>
      <c r="J68" t="s">
        <v>25</v>
      </c>
      <c r="K68" t="s">
        <v>24</v>
      </c>
      <c r="L68" t="s">
        <v>25</v>
      </c>
      <c r="M68" s="10">
        <v>361</v>
      </c>
      <c r="N68" s="7"/>
      <c r="O68" s="5"/>
      <c r="P68" s="6"/>
      <c r="Q68" s="5"/>
      <c r="R68" t="s">
        <v>234</v>
      </c>
    </row>
    <row r="69" spans="1:18">
      <c r="A69">
        <v>68</v>
      </c>
      <c r="B69" s="1">
        <v>831250</v>
      </c>
      <c r="C69" t="s">
        <v>235</v>
      </c>
      <c r="D69" s="2">
        <v>45267</v>
      </c>
      <c r="E69" t="s">
        <v>243</v>
      </c>
      <c r="F69" t="s">
        <v>243</v>
      </c>
      <c r="G69" t="s">
        <v>48</v>
      </c>
      <c r="H69" t="s">
        <v>32</v>
      </c>
      <c r="I69" t="s">
        <v>24</v>
      </c>
      <c r="J69" t="s">
        <v>25</v>
      </c>
      <c r="K69" t="s">
        <v>24</v>
      </c>
      <c r="L69" t="s">
        <v>25</v>
      </c>
      <c r="M69" s="10">
        <v>436</v>
      </c>
      <c r="N69" s="7"/>
      <c r="O69" s="5"/>
      <c r="P69" s="6"/>
      <c r="Q69" s="5"/>
      <c r="R69" t="s">
        <v>234</v>
      </c>
    </row>
    <row r="70" spans="1:18">
      <c r="A70">
        <v>69</v>
      </c>
      <c r="B70" s="1">
        <v>831250</v>
      </c>
      <c r="C70" t="s">
        <v>235</v>
      </c>
      <c r="D70" s="2">
        <v>45267</v>
      </c>
      <c r="E70" t="s">
        <v>244</v>
      </c>
      <c r="F70" t="s">
        <v>245</v>
      </c>
      <c r="G70" t="s">
        <v>22</v>
      </c>
      <c r="H70" t="s">
        <v>23</v>
      </c>
      <c r="I70" t="s">
        <v>24</v>
      </c>
      <c r="J70" t="s">
        <v>25</v>
      </c>
      <c r="K70" t="s">
        <v>24</v>
      </c>
      <c r="L70" t="s">
        <v>25</v>
      </c>
      <c r="M70" s="10">
        <v>573.6</v>
      </c>
      <c r="N70" s="7"/>
      <c r="O70" s="5"/>
      <c r="P70" s="6"/>
      <c r="Q70" s="5"/>
      <c r="R70" t="s">
        <v>234</v>
      </c>
    </row>
    <row r="71" spans="1:18">
      <c r="A71">
        <v>70</v>
      </c>
      <c r="B71" s="1">
        <v>831250</v>
      </c>
      <c r="C71" t="s">
        <v>235</v>
      </c>
      <c r="D71" s="2">
        <v>45267</v>
      </c>
      <c r="E71" t="s">
        <v>246</v>
      </c>
      <c r="F71" t="s">
        <v>247</v>
      </c>
      <c r="G71" t="s">
        <v>22</v>
      </c>
      <c r="H71" t="s">
        <v>23</v>
      </c>
      <c r="I71" t="s">
        <v>24</v>
      </c>
      <c r="J71" t="s">
        <v>25</v>
      </c>
      <c r="K71" t="s">
        <v>24</v>
      </c>
      <c r="L71" t="s">
        <v>25</v>
      </c>
      <c r="M71" s="10">
        <v>553.44000000000005</v>
      </c>
      <c r="N71" s="7"/>
      <c r="O71" s="5"/>
      <c r="P71" s="6"/>
      <c r="Q71" s="5"/>
      <c r="R71" t="s">
        <v>234</v>
      </c>
    </row>
    <row r="72" spans="1:18">
      <c r="A72">
        <v>71</v>
      </c>
      <c r="B72" s="1">
        <v>840240</v>
      </c>
      <c r="C72" t="s">
        <v>249</v>
      </c>
      <c r="D72" s="2">
        <v>45363</v>
      </c>
      <c r="E72" t="s">
        <v>250</v>
      </c>
      <c r="F72" t="s">
        <v>251</v>
      </c>
      <c r="G72" t="s">
        <v>22</v>
      </c>
      <c r="H72" t="s">
        <v>23</v>
      </c>
      <c r="I72" t="s">
        <v>24</v>
      </c>
      <c r="J72" t="s">
        <v>25</v>
      </c>
      <c r="K72" t="s">
        <v>25</v>
      </c>
      <c r="L72" t="s">
        <v>24</v>
      </c>
      <c r="M72" s="10">
        <v>716</v>
      </c>
      <c r="N72" s="7" t="s">
        <v>27</v>
      </c>
      <c r="O72" s="5">
        <v>0</v>
      </c>
      <c r="P72" s="6" t="s">
        <v>106</v>
      </c>
      <c r="Q72" s="5">
        <v>30</v>
      </c>
      <c r="R72" t="s">
        <v>99</v>
      </c>
    </row>
    <row r="73" spans="1:18">
      <c r="A73">
        <v>72</v>
      </c>
      <c r="B73" s="1">
        <v>840240</v>
      </c>
      <c r="C73" t="s">
        <v>249</v>
      </c>
      <c r="D73" s="2">
        <v>45363</v>
      </c>
      <c r="E73" t="s">
        <v>252</v>
      </c>
      <c r="F73" t="s">
        <v>253</v>
      </c>
      <c r="G73" t="s">
        <v>22</v>
      </c>
      <c r="H73" t="s">
        <v>23</v>
      </c>
      <c r="I73" t="s">
        <v>24</v>
      </c>
      <c r="J73" t="s">
        <v>25</v>
      </c>
      <c r="K73" t="s">
        <v>25</v>
      </c>
      <c r="L73" t="s">
        <v>24</v>
      </c>
      <c r="M73" s="10">
        <v>537</v>
      </c>
      <c r="N73" s="7" t="s">
        <v>27</v>
      </c>
      <c r="O73" s="5">
        <v>0</v>
      </c>
      <c r="P73" s="6" t="s">
        <v>106</v>
      </c>
      <c r="Q73" s="5">
        <v>27</v>
      </c>
      <c r="R73" t="s">
        <v>99</v>
      </c>
    </row>
    <row r="74" spans="1:18" ht="15" thickBot="1">
      <c r="A74">
        <v>73</v>
      </c>
      <c r="B74" s="1">
        <v>840215</v>
      </c>
      <c r="C74" t="s">
        <v>254</v>
      </c>
      <c r="D74" s="2">
        <v>45363</v>
      </c>
      <c r="E74" t="s">
        <v>255</v>
      </c>
      <c r="F74" t="s">
        <v>255</v>
      </c>
      <c r="G74" t="s">
        <v>22</v>
      </c>
      <c r="H74" t="s">
        <v>23</v>
      </c>
      <c r="I74" t="s">
        <v>25</v>
      </c>
      <c r="J74" t="s">
        <v>25</v>
      </c>
      <c r="K74" t="s">
        <v>25</v>
      </c>
      <c r="L74" t="s">
        <v>25</v>
      </c>
      <c r="M74" s="10">
        <v>564</v>
      </c>
      <c r="N74" s="7" t="s">
        <v>27</v>
      </c>
      <c r="O74" s="5" t="s">
        <v>27</v>
      </c>
      <c r="P74" s="6" t="s">
        <v>27</v>
      </c>
      <c r="Q74" s="5" t="s">
        <v>27</v>
      </c>
      <c r="R74" t="s">
        <v>256</v>
      </c>
    </row>
    <row r="75" spans="1:18" ht="15" thickBot="1">
      <c r="A75">
        <v>74</v>
      </c>
      <c r="B75" s="1">
        <v>840110</v>
      </c>
      <c r="C75" t="s">
        <v>257</v>
      </c>
      <c r="D75" s="2">
        <v>45324</v>
      </c>
      <c r="E75" t="s">
        <v>258</v>
      </c>
      <c r="F75" s="21" t="s">
        <v>259</v>
      </c>
      <c r="G75" t="s">
        <v>41</v>
      </c>
      <c r="H75" t="s">
        <v>23</v>
      </c>
      <c r="I75" t="s">
        <v>24</v>
      </c>
      <c r="J75" t="s">
        <v>25</v>
      </c>
      <c r="K75" t="s">
        <v>24</v>
      </c>
      <c r="L75" t="s">
        <v>25</v>
      </c>
      <c r="M75" s="10"/>
      <c r="N75" s="7" t="s">
        <v>27</v>
      </c>
      <c r="O75" s="5" t="s">
        <v>27</v>
      </c>
      <c r="P75" s="6" t="s">
        <v>27</v>
      </c>
      <c r="Q75" s="5" t="s">
        <v>27</v>
      </c>
      <c r="R75" t="s">
        <v>260</v>
      </c>
    </row>
    <row r="76" spans="1:18">
      <c r="A76">
        <v>75</v>
      </c>
      <c r="B76" s="1">
        <v>732136</v>
      </c>
      <c r="C76" t="s">
        <v>261</v>
      </c>
      <c r="D76" s="2">
        <v>45348</v>
      </c>
      <c r="E76" t="s">
        <v>262</v>
      </c>
      <c r="F76" t="s">
        <v>262</v>
      </c>
      <c r="G76" t="s">
        <v>41</v>
      </c>
      <c r="H76" t="s">
        <v>62</v>
      </c>
      <c r="I76" t="s">
        <v>24</v>
      </c>
      <c r="J76" t="s">
        <v>25</v>
      </c>
      <c r="K76" t="s">
        <v>24</v>
      </c>
      <c r="L76" t="s">
        <v>25</v>
      </c>
      <c r="M76" s="10">
        <v>1125</v>
      </c>
      <c r="N76" s="7" t="s">
        <v>263</v>
      </c>
      <c r="O76" s="5" t="s">
        <v>27</v>
      </c>
      <c r="P76" s="6" t="s">
        <v>27</v>
      </c>
      <c r="Q76" s="5" t="s">
        <v>27</v>
      </c>
      <c r="R76" t="s">
        <v>264</v>
      </c>
    </row>
    <row r="77" spans="1:18">
      <c r="A77">
        <v>76</v>
      </c>
      <c r="B77" s="1">
        <v>732169</v>
      </c>
      <c r="C77" t="s">
        <v>265</v>
      </c>
      <c r="D77" s="2">
        <v>45281</v>
      </c>
      <c r="E77" t="s">
        <v>266</v>
      </c>
      <c r="F77" t="s">
        <v>266</v>
      </c>
      <c r="G77" t="s">
        <v>41</v>
      </c>
      <c r="H77" t="s">
        <v>23</v>
      </c>
      <c r="I77" t="s">
        <v>24</v>
      </c>
      <c r="J77" t="s">
        <v>25</v>
      </c>
      <c r="K77" t="s">
        <v>25</v>
      </c>
      <c r="L77" t="s">
        <v>24</v>
      </c>
      <c r="M77" s="10">
        <v>1722</v>
      </c>
      <c r="N77" s="7" t="s">
        <v>27</v>
      </c>
      <c r="O77" s="5">
        <v>30</v>
      </c>
      <c r="P77" s="6" t="s">
        <v>54</v>
      </c>
      <c r="Q77" s="5">
        <v>20</v>
      </c>
      <c r="R77" t="s">
        <v>99</v>
      </c>
    </row>
    <row r="78" spans="1:18">
      <c r="A78">
        <v>77</v>
      </c>
      <c r="B78" s="1">
        <v>732169</v>
      </c>
      <c r="C78" t="s">
        <v>265</v>
      </c>
      <c r="D78" s="2">
        <v>45281</v>
      </c>
      <c r="E78" t="s">
        <v>267</v>
      </c>
      <c r="F78" t="s">
        <v>267</v>
      </c>
      <c r="G78" t="s">
        <v>22</v>
      </c>
      <c r="H78" t="s">
        <v>62</v>
      </c>
      <c r="I78" t="s">
        <v>24</v>
      </c>
      <c r="J78" t="s">
        <v>25</v>
      </c>
      <c r="K78" t="s">
        <v>25</v>
      </c>
      <c r="L78" t="s">
        <v>24</v>
      </c>
      <c r="M78" s="10">
        <v>1432</v>
      </c>
      <c r="N78" s="7" t="s">
        <v>27</v>
      </c>
      <c r="O78" s="5">
        <v>30</v>
      </c>
      <c r="P78" s="6" t="s">
        <v>54</v>
      </c>
      <c r="Q78" s="5">
        <v>30</v>
      </c>
      <c r="R78" t="s">
        <v>99</v>
      </c>
    </row>
    <row r="79" spans="1:18">
      <c r="A79">
        <v>78</v>
      </c>
      <c r="B79" s="1">
        <v>732169</v>
      </c>
      <c r="C79" t="s">
        <v>265</v>
      </c>
      <c r="D79" s="2">
        <v>45281</v>
      </c>
      <c r="E79" t="s">
        <v>268</v>
      </c>
      <c r="F79" t="s">
        <v>269</v>
      </c>
      <c r="G79" t="s">
        <v>22</v>
      </c>
      <c r="H79" t="s">
        <v>62</v>
      </c>
      <c r="I79" t="s">
        <v>24</v>
      </c>
      <c r="J79" t="s">
        <v>25</v>
      </c>
      <c r="K79" t="s">
        <v>25</v>
      </c>
      <c r="L79" t="s">
        <v>24</v>
      </c>
      <c r="M79" s="10">
        <v>1090</v>
      </c>
      <c r="N79" s="7" t="s">
        <v>27</v>
      </c>
      <c r="O79" s="5">
        <v>42</v>
      </c>
      <c r="P79" s="6" t="s">
        <v>52</v>
      </c>
      <c r="Q79" s="5">
        <v>29</v>
      </c>
      <c r="R79" t="s">
        <v>99</v>
      </c>
    </row>
    <row r="80" spans="1:18">
      <c r="A80">
        <v>79</v>
      </c>
      <c r="B80" s="1">
        <v>732169</v>
      </c>
      <c r="C80" t="s">
        <v>265</v>
      </c>
      <c r="D80" s="2">
        <v>45281</v>
      </c>
      <c r="E80" t="s">
        <v>270</v>
      </c>
      <c r="F80" t="s">
        <v>271</v>
      </c>
      <c r="G80" t="s">
        <v>22</v>
      </c>
      <c r="H80" t="s">
        <v>77</v>
      </c>
      <c r="I80" t="s">
        <v>24</v>
      </c>
      <c r="J80" t="s">
        <v>25</v>
      </c>
      <c r="K80" t="s">
        <v>25</v>
      </c>
      <c r="L80" t="s">
        <v>24</v>
      </c>
      <c r="M80" s="10">
        <v>2170</v>
      </c>
      <c r="N80" s="7" t="s">
        <v>27</v>
      </c>
      <c r="O80" s="5">
        <v>35</v>
      </c>
      <c r="P80" s="6" t="s">
        <v>54</v>
      </c>
      <c r="Q80" s="5">
        <v>30</v>
      </c>
      <c r="R80" t="s">
        <v>99</v>
      </c>
    </row>
    <row r="81" spans="1:20">
      <c r="A81">
        <v>80</v>
      </c>
      <c r="B81" s="1">
        <v>732169</v>
      </c>
      <c r="C81" t="s">
        <v>265</v>
      </c>
      <c r="D81" s="2">
        <v>45281</v>
      </c>
      <c r="E81" t="s">
        <v>272</v>
      </c>
      <c r="F81" t="s">
        <v>272</v>
      </c>
      <c r="G81" t="s">
        <v>22</v>
      </c>
      <c r="H81" t="s">
        <v>23</v>
      </c>
      <c r="I81" t="s">
        <v>24</v>
      </c>
      <c r="J81" t="s">
        <v>25</v>
      </c>
      <c r="K81" t="s">
        <v>25</v>
      </c>
      <c r="L81" t="s">
        <v>24</v>
      </c>
      <c r="M81" s="10">
        <v>966</v>
      </c>
      <c r="N81" s="7" t="s">
        <v>27</v>
      </c>
      <c r="O81" s="5">
        <v>32</v>
      </c>
      <c r="P81" s="6" t="s">
        <v>54</v>
      </c>
      <c r="Q81" s="5">
        <v>30</v>
      </c>
      <c r="R81" t="s">
        <v>99</v>
      </c>
    </row>
    <row r="82" spans="1:20">
      <c r="A82">
        <v>81</v>
      </c>
      <c r="B82" s="1">
        <v>831250</v>
      </c>
      <c r="C82" t="s">
        <v>273</v>
      </c>
      <c r="D82" s="2">
        <v>45370</v>
      </c>
      <c r="E82" t="s">
        <v>274</v>
      </c>
      <c r="F82" t="s">
        <v>275</v>
      </c>
      <c r="G82" t="s">
        <v>41</v>
      </c>
      <c r="H82" t="s">
        <v>77</v>
      </c>
      <c r="I82" t="s">
        <v>25</v>
      </c>
      <c r="J82" t="s">
        <v>25</v>
      </c>
      <c r="K82" t="s">
        <v>25</v>
      </c>
      <c r="L82" t="s">
        <v>25</v>
      </c>
      <c r="M82" s="10">
        <v>955</v>
      </c>
      <c r="N82" s="7" t="s">
        <v>27</v>
      </c>
      <c r="O82" s="5" t="s">
        <v>27</v>
      </c>
      <c r="P82" s="6" t="s">
        <v>27</v>
      </c>
      <c r="Q82" s="5" t="s">
        <v>27</v>
      </c>
      <c r="R82" t="s">
        <v>99</v>
      </c>
      <c r="T82" t="s">
        <v>141</v>
      </c>
    </row>
    <row r="83" spans="1:20">
      <c r="A83">
        <v>82</v>
      </c>
      <c r="B83" s="1">
        <v>830427</v>
      </c>
      <c r="C83" t="s">
        <v>276</v>
      </c>
      <c r="D83" s="2">
        <v>45009</v>
      </c>
      <c r="E83" t="s">
        <v>274</v>
      </c>
      <c r="F83" t="s">
        <v>275</v>
      </c>
      <c r="G83" t="s">
        <v>41</v>
      </c>
      <c r="H83" t="s">
        <v>77</v>
      </c>
      <c r="I83" t="s">
        <v>24</v>
      </c>
      <c r="J83" t="s">
        <v>25</v>
      </c>
      <c r="K83" t="s">
        <v>24</v>
      </c>
      <c r="L83" t="s">
        <v>24</v>
      </c>
      <c r="M83" s="10">
        <v>815</v>
      </c>
      <c r="N83" s="7">
        <v>2.3E-3</v>
      </c>
      <c r="O83" s="5">
        <v>25</v>
      </c>
      <c r="P83" s="6" t="s">
        <v>52</v>
      </c>
      <c r="Q83" s="5">
        <v>20</v>
      </c>
      <c r="R83" t="s">
        <v>234</v>
      </c>
      <c r="S83" t="s">
        <v>277</v>
      </c>
      <c r="T83" t="s">
        <v>278</v>
      </c>
    </row>
    <row r="84" spans="1:20">
      <c r="A84">
        <v>83</v>
      </c>
      <c r="B84" s="1">
        <v>740870</v>
      </c>
      <c r="C84" t="s">
        <v>279</v>
      </c>
      <c r="D84" s="2">
        <v>45060</v>
      </c>
      <c r="E84" t="s">
        <v>280</v>
      </c>
      <c r="F84" t="s">
        <v>281</v>
      </c>
      <c r="G84" t="s">
        <v>22</v>
      </c>
      <c r="H84" t="s">
        <v>32</v>
      </c>
      <c r="I84" t="s">
        <v>24</v>
      </c>
      <c r="J84" t="s">
        <v>25</v>
      </c>
      <c r="K84" t="s">
        <v>25</v>
      </c>
      <c r="L84" t="s">
        <v>24</v>
      </c>
      <c r="M84" s="10">
        <v>547</v>
      </c>
      <c r="N84" s="7" t="s">
        <v>27</v>
      </c>
      <c r="O84" s="5">
        <v>37.5</v>
      </c>
      <c r="P84" s="6" t="s">
        <v>54</v>
      </c>
      <c r="Q84" s="5">
        <v>29.5</v>
      </c>
      <c r="R84" t="s">
        <v>99</v>
      </c>
      <c r="T84" t="s">
        <v>139</v>
      </c>
    </row>
    <row r="85" spans="1:20">
      <c r="A85">
        <v>84</v>
      </c>
      <c r="B85" s="1">
        <v>840587</v>
      </c>
      <c r="C85" t="s">
        <v>282</v>
      </c>
      <c r="D85" s="2">
        <v>45454</v>
      </c>
      <c r="E85" t="s">
        <v>285</v>
      </c>
      <c r="F85" t="s">
        <v>284</v>
      </c>
      <c r="G85" t="s">
        <v>31</v>
      </c>
      <c r="H85" t="s">
        <v>32</v>
      </c>
      <c r="I85" t="s">
        <v>24</v>
      </c>
      <c r="J85" t="s">
        <v>25</v>
      </c>
      <c r="K85" t="s">
        <v>24</v>
      </c>
      <c r="L85" t="s">
        <v>25</v>
      </c>
      <c r="M85" s="10"/>
      <c r="N85" s="7"/>
      <c r="O85" s="5"/>
      <c r="P85" s="6"/>
      <c r="Q85" s="5"/>
      <c r="S85" t="s">
        <v>288</v>
      </c>
      <c r="T85" t="s">
        <v>278</v>
      </c>
    </row>
    <row r="86" spans="1:20">
      <c r="A86">
        <v>85</v>
      </c>
      <c r="B86" s="1">
        <v>840587</v>
      </c>
      <c r="C86" t="s">
        <v>282</v>
      </c>
      <c r="D86" s="2">
        <v>45454</v>
      </c>
      <c r="E86" t="s">
        <v>286</v>
      </c>
      <c r="F86" t="s">
        <v>283</v>
      </c>
      <c r="G86" t="s">
        <v>31</v>
      </c>
      <c r="H86" t="s">
        <v>32</v>
      </c>
      <c r="I86" t="s">
        <v>24</v>
      </c>
      <c r="J86" t="s">
        <v>25</v>
      </c>
      <c r="K86" t="s">
        <v>24</v>
      </c>
      <c r="L86" t="s">
        <v>25</v>
      </c>
      <c r="M86" s="10"/>
      <c r="N86" s="7"/>
      <c r="O86" s="5"/>
      <c r="P86" s="6"/>
      <c r="Q86" s="5"/>
      <c r="S86" t="s">
        <v>287</v>
      </c>
      <c r="T86" t="s">
        <v>278</v>
      </c>
    </row>
    <row r="87" spans="1:20">
      <c r="A87">
        <v>86</v>
      </c>
      <c r="B87" s="1">
        <v>741146</v>
      </c>
      <c r="C87" t="s">
        <v>289</v>
      </c>
      <c r="D87" s="2">
        <v>45478</v>
      </c>
      <c r="E87" t="s">
        <v>290</v>
      </c>
      <c r="F87" t="s">
        <v>291</v>
      </c>
      <c r="G87" t="s">
        <v>22</v>
      </c>
      <c r="H87" t="s">
        <v>23</v>
      </c>
      <c r="I87" t="s">
        <v>24</v>
      </c>
      <c r="J87" t="s">
        <v>25</v>
      </c>
      <c r="K87" t="s">
        <v>25</v>
      </c>
      <c r="L87" t="s">
        <v>24</v>
      </c>
      <c r="M87" s="10">
        <v>670</v>
      </c>
      <c r="N87" s="7" t="s">
        <v>27</v>
      </c>
      <c r="O87" s="5">
        <v>33</v>
      </c>
      <c r="P87" s="6" t="s">
        <v>54</v>
      </c>
      <c r="Q87" s="5">
        <v>39</v>
      </c>
      <c r="R87" t="s">
        <v>99</v>
      </c>
      <c r="T87" t="s">
        <v>182</v>
      </c>
    </row>
    <row r="88" spans="1:20">
      <c r="A88">
        <v>87</v>
      </c>
      <c r="B88" s="1">
        <v>741113</v>
      </c>
      <c r="C88" t="s">
        <v>292</v>
      </c>
      <c r="D88" s="2">
        <v>45482</v>
      </c>
      <c r="E88" t="s">
        <v>293</v>
      </c>
      <c r="F88" t="s">
        <v>297</v>
      </c>
      <c r="G88" t="s">
        <v>48</v>
      </c>
      <c r="H88" t="s">
        <v>112</v>
      </c>
      <c r="I88" t="s">
        <v>24</v>
      </c>
      <c r="J88" t="s">
        <v>25</v>
      </c>
      <c r="K88" t="s">
        <v>25</v>
      </c>
      <c r="L88" t="s">
        <v>24</v>
      </c>
      <c r="M88" s="10">
        <v>238</v>
      </c>
      <c r="N88" s="7" t="s">
        <v>27</v>
      </c>
      <c r="O88" s="5">
        <v>30</v>
      </c>
      <c r="P88" s="6" t="s">
        <v>54</v>
      </c>
      <c r="Q88" s="5">
        <v>16</v>
      </c>
      <c r="R88" t="s">
        <v>99</v>
      </c>
      <c r="T88" t="s">
        <v>182</v>
      </c>
    </row>
    <row r="89" spans="1:20">
      <c r="A89">
        <v>88</v>
      </c>
      <c r="B89" s="1">
        <v>741113</v>
      </c>
      <c r="C89" t="s">
        <v>292</v>
      </c>
      <c r="D89" s="2">
        <v>45482</v>
      </c>
      <c r="E89" t="s">
        <v>294</v>
      </c>
      <c r="F89" t="s">
        <v>298</v>
      </c>
      <c r="G89" t="s">
        <v>41</v>
      </c>
      <c r="H89" t="s">
        <v>49</v>
      </c>
      <c r="I89" t="s">
        <v>24</v>
      </c>
      <c r="J89" t="s">
        <v>25</v>
      </c>
      <c r="K89" t="s">
        <v>25</v>
      </c>
      <c r="L89" t="s">
        <v>24</v>
      </c>
      <c r="M89" s="10">
        <v>311</v>
      </c>
      <c r="N89" s="7" t="s">
        <v>27</v>
      </c>
      <c r="O89" s="5">
        <v>45</v>
      </c>
      <c r="P89" s="6" t="s">
        <v>54</v>
      </c>
      <c r="Q89" s="5">
        <v>19</v>
      </c>
      <c r="R89" t="s">
        <v>99</v>
      </c>
      <c r="T89" t="s">
        <v>182</v>
      </c>
    </row>
    <row r="90" spans="1:20">
      <c r="A90">
        <v>89</v>
      </c>
      <c r="B90" s="1">
        <v>741113</v>
      </c>
      <c r="C90" t="s">
        <v>292</v>
      </c>
      <c r="D90" s="2">
        <v>45482</v>
      </c>
      <c r="E90" t="s">
        <v>295</v>
      </c>
      <c r="F90" t="s">
        <v>297</v>
      </c>
      <c r="G90" t="s">
        <v>48</v>
      </c>
      <c r="H90" t="s">
        <v>112</v>
      </c>
      <c r="I90" t="s">
        <v>24</v>
      </c>
      <c r="J90" t="s">
        <v>25</v>
      </c>
      <c r="K90" t="s">
        <v>25</v>
      </c>
      <c r="L90" t="s">
        <v>24</v>
      </c>
      <c r="M90" s="10">
        <v>336</v>
      </c>
      <c r="N90" s="7" t="s">
        <v>27</v>
      </c>
      <c r="O90" s="5">
        <v>28</v>
      </c>
      <c r="P90" s="6" t="s">
        <v>54</v>
      </c>
      <c r="Q90" s="5">
        <v>14</v>
      </c>
      <c r="R90" t="s">
        <v>99</v>
      </c>
      <c r="T90" t="s">
        <v>182</v>
      </c>
    </row>
    <row r="91" spans="1:20">
      <c r="A91">
        <v>90</v>
      </c>
      <c r="B91" s="1">
        <v>741113</v>
      </c>
      <c r="C91" t="s">
        <v>292</v>
      </c>
      <c r="D91" s="2">
        <v>45482</v>
      </c>
      <c r="E91" t="s">
        <v>296</v>
      </c>
      <c r="F91" t="s">
        <v>297</v>
      </c>
      <c r="G91" t="s">
        <v>48</v>
      </c>
      <c r="H91" t="s">
        <v>112</v>
      </c>
      <c r="I91" t="s">
        <v>24</v>
      </c>
      <c r="J91" t="s">
        <v>25</v>
      </c>
      <c r="K91" t="s">
        <v>25</v>
      </c>
      <c r="L91" t="s">
        <v>24</v>
      </c>
      <c r="M91" s="10">
        <v>331</v>
      </c>
      <c r="N91" s="7" t="s">
        <v>27</v>
      </c>
      <c r="O91" s="5">
        <v>28</v>
      </c>
      <c r="P91" s="6" t="s">
        <v>54</v>
      </c>
      <c r="Q91" s="5">
        <v>14</v>
      </c>
      <c r="R91" t="s">
        <v>99</v>
      </c>
      <c r="T91" t="s">
        <v>182</v>
      </c>
    </row>
    <row r="92" spans="1:20">
      <c r="A92">
        <v>91</v>
      </c>
      <c r="B92" s="1">
        <v>740659</v>
      </c>
      <c r="C92" t="s">
        <v>299</v>
      </c>
      <c r="D92" s="2">
        <v>45502</v>
      </c>
      <c r="E92" t="s">
        <v>300</v>
      </c>
      <c r="F92" t="s">
        <v>301</v>
      </c>
      <c r="G92" t="s">
        <v>22</v>
      </c>
      <c r="H92" t="s">
        <v>78</v>
      </c>
      <c r="I92" t="s">
        <v>24</v>
      </c>
      <c r="J92" t="s">
        <v>25</v>
      </c>
      <c r="K92" t="s">
        <v>25</v>
      </c>
      <c r="L92" t="s">
        <v>24</v>
      </c>
      <c r="M92" s="10">
        <v>394</v>
      </c>
      <c r="N92" s="7" t="s">
        <v>27</v>
      </c>
      <c r="O92" s="5">
        <v>36.5</v>
      </c>
      <c r="P92" s="6" t="s">
        <v>54</v>
      </c>
      <c r="Q92" s="5">
        <v>37</v>
      </c>
      <c r="R92" t="s">
        <v>99</v>
      </c>
      <c r="T92" t="s">
        <v>139</v>
      </c>
    </row>
    <row r="93" spans="1:20">
      <c r="A93">
        <v>92</v>
      </c>
      <c r="B93" s="1">
        <v>840769</v>
      </c>
      <c r="C93" t="s">
        <v>302</v>
      </c>
      <c r="D93" s="2">
        <v>45537</v>
      </c>
      <c r="E93" t="s">
        <v>303</v>
      </c>
      <c r="F93" t="s">
        <v>304</v>
      </c>
      <c r="G93" t="s">
        <v>22</v>
      </c>
      <c r="H93" t="s">
        <v>32</v>
      </c>
      <c r="I93" t="s">
        <v>24</v>
      </c>
      <c r="J93" t="s">
        <v>25</v>
      </c>
      <c r="K93" t="s">
        <v>25</v>
      </c>
      <c r="L93" t="s">
        <v>24</v>
      </c>
      <c r="M93" s="10">
        <v>625</v>
      </c>
      <c r="N93" s="7" t="s">
        <v>27</v>
      </c>
      <c r="O93" s="5">
        <v>45</v>
      </c>
      <c r="P93" s="6" t="s">
        <v>52</v>
      </c>
      <c r="Q93" s="5">
        <v>28</v>
      </c>
      <c r="R93" t="s">
        <v>234</v>
      </c>
      <c r="T93" t="s">
        <v>278</v>
      </c>
    </row>
    <row r="94" spans="1:20">
      <c r="A94">
        <v>93</v>
      </c>
      <c r="B94" s="1">
        <v>741416</v>
      </c>
      <c r="C94" t="s">
        <v>305</v>
      </c>
      <c r="D94" s="2">
        <v>45496</v>
      </c>
      <c r="E94" t="s">
        <v>306</v>
      </c>
      <c r="F94" t="s">
        <v>307</v>
      </c>
      <c r="G94" t="s">
        <v>22</v>
      </c>
      <c r="H94" t="s">
        <v>23</v>
      </c>
      <c r="I94" t="s">
        <v>24</v>
      </c>
      <c r="J94" t="s">
        <v>25</v>
      </c>
      <c r="K94" t="s">
        <v>25</v>
      </c>
      <c r="L94" t="s">
        <v>24</v>
      </c>
      <c r="M94" s="10">
        <v>429</v>
      </c>
      <c r="N94" s="7" t="s">
        <v>27</v>
      </c>
      <c r="O94" s="5">
        <v>30</v>
      </c>
      <c r="P94" s="6" t="s">
        <v>54</v>
      </c>
      <c r="Q94" s="5">
        <v>33</v>
      </c>
      <c r="R94" t="s">
        <v>99</v>
      </c>
      <c r="T94" t="s">
        <v>182</v>
      </c>
    </row>
    <row r="95" spans="1:20">
      <c r="A95">
        <v>94</v>
      </c>
      <c r="B95" s="1">
        <v>741146</v>
      </c>
      <c r="C95" t="s">
        <v>308</v>
      </c>
      <c r="D95" s="2">
        <v>45478</v>
      </c>
      <c r="E95" t="s">
        <v>290</v>
      </c>
      <c r="F95" t="s">
        <v>309</v>
      </c>
      <c r="G95" t="s">
        <v>22</v>
      </c>
      <c r="H95" t="s">
        <v>23</v>
      </c>
      <c r="I95" t="s">
        <v>24</v>
      </c>
      <c r="J95" t="s">
        <v>25</v>
      </c>
      <c r="K95" t="s">
        <v>25</v>
      </c>
      <c r="L95" t="s">
        <v>24</v>
      </c>
      <c r="M95" s="10">
        <v>670</v>
      </c>
      <c r="N95" s="7" t="s">
        <v>27</v>
      </c>
      <c r="O95" s="5">
        <v>33</v>
      </c>
      <c r="P95" s="6" t="s">
        <v>54</v>
      </c>
      <c r="Q95" s="5">
        <v>39</v>
      </c>
      <c r="R95" t="s">
        <v>99</v>
      </c>
      <c r="T95" t="s">
        <v>182</v>
      </c>
    </row>
    <row r="96" spans="1:20">
      <c r="A96">
        <v>95</v>
      </c>
      <c r="B96" s="1">
        <v>840384</v>
      </c>
      <c r="C96" t="s">
        <v>310</v>
      </c>
      <c r="D96" s="2">
        <v>45551</v>
      </c>
      <c r="E96" t="s">
        <v>190</v>
      </c>
      <c r="F96" t="s">
        <v>311</v>
      </c>
      <c r="G96" t="s">
        <v>22</v>
      </c>
      <c r="H96" t="s">
        <v>23</v>
      </c>
      <c r="I96" t="s">
        <v>25</v>
      </c>
      <c r="J96" t="s">
        <v>25</v>
      </c>
      <c r="K96" t="s">
        <v>25</v>
      </c>
      <c r="L96" t="s">
        <v>24</v>
      </c>
      <c r="M96" s="10">
        <v>960</v>
      </c>
      <c r="N96" s="7" t="s">
        <v>27</v>
      </c>
      <c r="O96" s="5">
        <v>29.5</v>
      </c>
      <c r="P96" s="6" t="s">
        <v>27</v>
      </c>
      <c r="Q96" s="5">
        <v>32</v>
      </c>
      <c r="R96" t="s">
        <v>312</v>
      </c>
      <c r="S96" t="s">
        <v>313</v>
      </c>
    </row>
    <row r="97" spans="1:20">
      <c r="A97">
        <v>96</v>
      </c>
      <c r="B97" s="1">
        <v>742386</v>
      </c>
      <c r="C97" t="s">
        <v>314</v>
      </c>
      <c r="D97" s="2">
        <v>45681</v>
      </c>
      <c r="E97" t="s">
        <v>315</v>
      </c>
      <c r="F97" t="s">
        <v>316</v>
      </c>
      <c r="G97" t="s">
        <v>31</v>
      </c>
      <c r="H97" t="s">
        <v>77</v>
      </c>
      <c r="I97" t="s">
        <v>24</v>
      </c>
      <c r="J97" t="s">
        <v>25</v>
      </c>
      <c r="K97" t="s">
        <v>25</v>
      </c>
      <c r="L97" t="s">
        <v>24</v>
      </c>
      <c r="M97" s="10">
        <v>500</v>
      </c>
      <c r="N97" s="7">
        <v>8.5000000000000006E-3</v>
      </c>
      <c r="O97" s="5">
        <v>35.5</v>
      </c>
      <c r="P97" s="6" t="s">
        <v>54</v>
      </c>
      <c r="Q97" s="5">
        <v>23.5</v>
      </c>
      <c r="R97" t="s">
        <v>317</v>
      </c>
      <c r="S97" t="s">
        <v>318</v>
      </c>
      <c r="T97" t="s">
        <v>324</v>
      </c>
    </row>
    <row r="98" spans="1:20">
      <c r="A98">
        <v>97</v>
      </c>
      <c r="B98" s="1">
        <v>750087</v>
      </c>
      <c r="C98" t="s">
        <v>319</v>
      </c>
      <c r="D98" s="2">
        <v>45737</v>
      </c>
      <c r="E98" t="s">
        <v>320</v>
      </c>
      <c r="F98" t="s">
        <v>321</v>
      </c>
      <c r="G98" t="s">
        <v>22</v>
      </c>
      <c r="H98" t="s">
        <v>32</v>
      </c>
      <c r="I98" t="s">
        <v>24</v>
      </c>
      <c r="J98" t="s">
        <v>25</v>
      </c>
      <c r="K98" t="s">
        <v>25</v>
      </c>
      <c r="L98" t="s">
        <v>24</v>
      </c>
      <c r="M98" s="10">
        <v>380</v>
      </c>
      <c r="N98" s="7" t="s">
        <v>27</v>
      </c>
      <c r="O98" s="5">
        <v>32</v>
      </c>
      <c r="P98" s="6" t="s">
        <v>52</v>
      </c>
      <c r="Q98" s="5">
        <v>29</v>
      </c>
      <c r="R98" t="s">
        <v>99</v>
      </c>
      <c r="S98" t="s">
        <v>323</v>
      </c>
      <c r="T98" t="s">
        <v>141</v>
      </c>
    </row>
    <row r="99" spans="1:20">
      <c r="A99">
        <v>98</v>
      </c>
      <c r="B99" s="1">
        <v>750087</v>
      </c>
      <c r="C99" t="s">
        <v>319</v>
      </c>
      <c r="D99" s="2">
        <v>45737</v>
      </c>
      <c r="E99" t="s">
        <v>320</v>
      </c>
      <c r="F99" t="s">
        <v>322</v>
      </c>
      <c r="G99" t="s">
        <v>22</v>
      </c>
      <c r="H99" t="s">
        <v>32</v>
      </c>
      <c r="I99" t="s">
        <v>24</v>
      </c>
      <c r="J99" t="s">
        <v>25</v>
      </c>
      <c r="K99" t="s">
        <v>25</v>
      </c>
      <c r="L99" t="s">
        <v>24</v>
      </c>
      <c r="M99" s="10">
        <v>354</v>
      </c>
      <c r="N99" s="7" t="s">
        <v>27</v>
      </c>
      <c r="O99" s="5">
        <v>45</v>
      </c>
      <c r="P99" s="6" t="s">
        <v>52</v>
      </c>
      <c r="Q99" s="5">
        <v>34</v>
      </c>
      <c r="R99" t="s">
        <v>99</v>
      </c>
      <c r="S99" t="s">
        <v>323</v>
      </c>
      <c r="T99" t="s">
        <v>141</v>
      </c>
    </row>
    <row r="100" spans="1:20">
      <c r="A100">
        <v>99</v>
      </c>
      <c r="B100" s="1">
        <v>850488</v>
      </c>
      <c r="C100" t="s">
        <v>325</v>
      </c>
      <c r="D100" s="2">
        <v>45805</v>
      </c>
      <c r="E100" t="s">
        <v>326</v>
      </c>
      <c r="F100" t="s">
        <v>326</v>
      </c>
      <c r="G100" t="s">
        <v>22</v>
      </c>
      <c r="H100" t="s">
        <v>77</v>
      </c>
      <c r="I100" t="s">
        <v>24</v>
      </c>
      <c r="J100" t="s">
        <v>25</v>
      </c>
      <c r="K100" t="s">
        <v>25</v>
      </c>
      <c r="L100" t="s">
        <v>24</v>
      </c>
      <c r="M100" s="10">
        <v>3496</v>
      </c>
      <c r="N100" s="7" t="s">
        <v>27</v>
      </c>
      <c r="O100" s="5">
        <v>25.5</v>
      </c>
      <c r="P100" s="6" t="s">
        <v>54</v>
      </c>
      <c r="Q100" s="5">
        <v>27</v>
      </c>
      <c r="R100" t="s">
        <v>327</v>
      </c>
      <c r="S100" t="s">
        <v>328</v>
      </c>
      <c r="T100" t="s">
        <v>139</v>
      </c>
    </row>
    <row r="101" spans="1:20">
      <c r="A101">
        <v>100</v>
      </c>
      <c r="B101" s="1">
        <v>751152</v>
      </c>
      <c r="C101" t="s">
        <v>329</v>
      </c>
      <c r="D101" s="2">
        <v>45820</v>
      </c>
      <c r="E101" t="s">
        <v>330</v>
      </c>
      <c r="F101" t="s">
        <v>332</v>
      </c>
      <c r="G101" t="s">
        <v>22</v>
      </c>
      <c r="H101" t="s">
        <v>333</v>
      </c>
      <c r="I101" t="s">
        <v>24</v>
      </c>
      <c r="J101" t="s">
        <v>25</v>
      </c>
      <c r="K101" t="s">
        <v>25</v>
      </c>
      <c r="L101" t="s">
        <v>24</v>
      </c>
      <c r="M101" s="10">
        <v>696</v>
      </c>
      <c r="N101" s="7" t="s">
        <v>27</v>
      </c>
      <c r="O101" s="5">
        <v>15</v>
      </c>
      <c r="P101" s="6" t="s">
        <v>106</v>
      </c>
      <c r="Q101" s="5">
        <v>35</v>
      </c>
      <c r="R101" t="s">
        <v>338</v>
      </c>
      <c r="S101" t="s">
        <v>178</v>
      </c>
      <c r="T101" t="s">
        <v>182</v>
      </c>
    </row>
    <row r="102" spans="1:20">
      <c r="A102">
        <v>101</v>
      </c>
      <c r="B102" s="1">
        <v>751152</v>
      </c>
      <c r="C102" t="s">
        <v>329</v>
      </c>
      <c r="D102" s="2">
        <v>45820</v>
      </c>
      <c r="E102" t="s">
        <v>331</v>
      </c>
      <c r="F102" t="s">
        <v>332</v>
      </c>
      <c r="G102" t="s">
        <v>22</v>
      </c>
      <c r="H102" t="s">
        <v>78</v>
      </c>
      <c r="I102" t="s">
        <v>24</v>
      </c>
      <c r="J102" t="s">
        <v>25</v>
      </c>
      <c r="K102" t="s">
        <v>25</v>
      </c>
      <c r="L102" t="s">
        <v>24</v>
      </c>
      <c r="M102" s="10">
        <v>612</v>
      </c>
      <c r="N102" s="7" t="s">
        <v>27</v>
      </c>
      <c r="O102" s="5">
        <v>35</v>
      </c>
      <c r="P102" s="6" t="s">
        <v>52</v>
      </c>
      <c r="Q102" s="5">
        <v>35</v>
      </c>
      <c r="R102" t="s">
        <v>338</v>
      </c>
      <c r="S102" t="s">
        <v>178</v>
      </c>
      <c r="T102" t="s">
        <v>182</v>
      </c>
    </row>
    <row r="103" spans="1:20">
      <c r="A103">
        <v>102</v>
      </c>
      <c r="B103" s="1">
        <v>850551</v>
      </c>
      <c r="C103" t="s">
        <v>334</v>
      </c>
      <c r="D103" s="2">
        <v>45840</v>
      </c>
      <c r="E103" t="s">
        <v>340</v>
      </c>
      <c r="F103" t="s">
        <v>335</v>
      </c>
      <c r="G103" t="s">
        <v>22</v>
      </c>
      <c r="H103" t="s">
        <v>23</v>
      </c>
      <c r="I103" t="s">
        <v>24</v>
      </c>
      <c r="J103" t="s">
        <v>25</v>
      </c>
      <c r="K103" t="s">
        <v>25</v>
      </c>
      <c r="L103" t="s">
        <v>24</v>
      </c>
      <c r="M103" s="10">
        <v>453</v>
      </c>
      <c r="N103" s="7" t="s">
        <v>27</v>
      </c>
      <c r="O103" s="5">
        <v>36</v>
      </c>
      <c r="P103" s="6" t="s">
        <v>52</v>
      </c>
      <c r="Q103" s="5">
        <v>40</v>
      </c>
      <c r="R103" t="s">
        <v>339</v>
      </c>
      <c r="S103" t="s">
        <v>178</v>
      </c>
      <c r="T103" t="s">
        <v>139</v>
      </c>
    </row>
    <row r="104" spans="1:20">
      <c r="A104">
        <v>103</v>
      </c>
      <c r="B104" s="1">
        <v>850551</v>
      </c>
      <c r="C104" t="s">
        <v>334</v>
      </c>
      <c r="D104" s="2">
        <v>45840</v>
      </c>
      <c r="E104" t="s">
        <v>341</v>
      </c>
      <c r="F104" t="s">
        <v>336</v>
      </c>
      <c r="G104" t="s">
        <v>22</v>
      </c>
      <c r="H104" t="s">
        <v>23</v>
      </c>
      <c r="I104" t="s">
        <v>24</v>
      </c>
      <c r="J104" t="s">
        <v>25</v>
      </c>
      <c r="K104" t="s">
        <v>25</v>
      </c>
      <c r="L104" t="s">
        <v>24</v>
      </c>
      <c r="M104" s="10">
        <v>602</v>
      </c>
      <c r="N104" s="7" t="s">
        <v>27</v>
      </c>
      <c r="O104" s="5">
        <v>38</v>
      </c>
      <c r="P104" s="6" t="s">
        <v>52</v>
      </c>
      <c r="Q104" s="5">
        <v>27</v>
      </c>
      <c r="R104" t="s">
        <v>339</v>
      </c>
      <c r="S104" t="s">
        <v>178</v>
      </c>
      <c r="T104" t="s">
        <v>139</v>
      </c>
    </row>
    <row r="105" spans="1:20">
      <c r="A105">
        <v>104</v>
      </c>
      <c r="B105" s="1">
        <v>850551</v>
      </c>
      <c r="C105" t="s">
        <v>334</v>
      </c>
      <c r="D105" s="2">
        <v>45840</v>
      </c>
      <c r="E105" t="s">
        <v>342</v>
      </c>
      <c r="F105" t="s">
        <v>337</v>
      </c>
      <c r="G105" t="s">
        <v>22</v>
      </c>
      <c r="H105" t="s">
        <v>32</v>
      </c>
      <c r="I105" t="s">
        <v>24</v>
      </c>
      <c r="J105" t="s">
        <v>25</v>
      </c>
      <c r="K105" t="s">
        <v>25</v>
      </c>
      <c r="L105" t="s">
        <v>24</v>
      </c>
      <c r="M105" s="10">
        <v>499</v>
      </c>
      <c r="N105" s="7" t="s">
        <v>27</v>
      </c>
      <c r="O105" s="5">
        <v>38</v>
      </c>
      <c r="P105" s="6" t="s">
        <v>54</v>
      </c>
      <c r="Q105" s="5">
        <v>43</v>
      </c>
      <c r="R105" t="s">
        <v>339</v>
      </c>
      <c r="S105" t="s">
        <v>178</v>
      </c>
      <c r="T105" t="s">
        <v>139</v>
      </c>
    </row>
    <row r="106" spans="1:20">
      <c r="A106">
        <v>105</v>
      </c>
      <c r="B106" s="1">
        <v>751166</v>
      </c>
      <c r="C106" t="s">
        <v>343</v>
      </c>
      <c r="D106" s="2">
        <v>45849</v>
      </c>
      <c r="E106" t="s">
        <v>344</v>
      </c>
      <c r="F106" t="s">
        <v>345</v>
      </c>
      <c r="G106" t="s">
        <v>31</v>
      </c>
      <c r="H106" t="s">
        <v>112</v>
      </c>
      <c r="I106" t="s">
        <v>24</v>
      </c>
      <c r="J106" t="s">
        <v>25</v>
      </c>
      <c r="K106" t="s">
        <v>25</v>
      </c>
      <c r="L106" t="s">
        <v>24</v>
      </c>
      <c r="M106" s="10">
        <v>758</v>
      </c>
      <c r="N106" s="7" t="s">
        <v>27</v>
      </c>
      <c r="O106" s="5">
        <v>35</v>
      </c>
      <c r="P106" s="6" t="s">
        <v>52</v>
      </c>
      <c r="Q106" s="5">
        <v>18</v>
      </c>
      <c r="R106" t="s">
        <v>99</v>
      </c>
      <c r="T106" t="s">
        <v>182</v>
      </c>
    </row>
    <row r="107" spans="1:20">
      <c r="A107">
        <v>106</v>
      </c>
      <c r="B107" s="1">
        <v>751152</v>
      </c>
      <c r="C107" t="s">
        <v>349</v>
      </c>
      <c r="D107" s="2">
        <v>45880</v>
      </c>
      <c r="E107" t="s">
        <v>346</v>
      </c>
      <c r="F107" t="s">
        <v>347</v>
      </c>
      <c r="G107" t="s">
        <v>22</v>
      </c>
      <c r="H107" t="s">
        <v>348</v>
      </c>
      <c r="I107" t="s">
        <v>24</v>
      </c>
      <c r="J107" t="s">
        <v>25</v>
      </c>
      <c r="K107" t="s">
        <v>25</v>
      </c>
      <c r="L107" t="s">
        <v>24</v>
      </c>
      <c r="M107" s="10">
        <v>540</v>
      </c>
      <c r="N107" s="7" t="s">
        <v>27</v>
      </c>
      <c r="O107" s="5">
        <v>26</v>
      </c>
      <c r="P107" s="6" t="s">
        <v>54</v>
      </c>
      <c r="Q107" s="5">
        <v>50</v>
      </c>
      <c r="R107" t="s">
        <v>99</v>
      </c>
      <c r="T107" t="s">
        <v>182</v>
      </c>
    </row>
    <row r="108" spans="1:20">
      <c r="A108">
        <v>107</v>
      </c>
      <c r="B108" s="1">
        <v>860066</v>
      </c>
      <c r="C108" t="s">
        <v>350</v>
      </c>
      <c r="D108" s="2">
        <v>46052</v>
      </c>
      <c r="E108" t="s">
        <v>351</v>
      </c>
      <c r="F108" t="s">
        <v>352</v>
      </c>
      <c r="G108" t="s">
        <v>22</v>
      </c>
      <c r="H108" t="s">
        <v>23</v>
      </c>
      <c r="I108" t="s">
        <v>24</v>
      </c>
      <c r="J108" t="s">
        <v>25</v>
      </c>
      <c r="K108" t="s">
        <v>24</v>
      </c>
      <c r="L108" t="s">
        <v>24</v>
      </c>
      <c r="M108" s="10">
        <v>160</v>
      </c>
      <c r="N108" s="7" t="s">
        <v>27</v>
      </c>
      <c r="O108" s="5">
        <v>0</v>
      </c>
      <c r="P108" s="6" t="s">
        <v>106</v>
      </c>
      <c r="Q108" s="5">
        <v>37</v>
      </c>
      <c r="R108" t="s">
        <v>99</v>
      </c>
      <c r="S108" t="s">
        <v>353</v>
      </c>
      <c r="T108" t="s">
        <v>182</v>
      </c>
    </row>
    <row r="109" spans="1:20">
      <c r="A109">
        <v>108</v>
      </c>
      <c r="D109" s="2"/>
      <c r="M109" s="10"/>
      <c r="N109" s="7"/>
      <c r="O109" s="5"/>
      <c r="P109" s="6"/>
      <c r="Q109" s="5"/>
    </row>
    <row r="110" spans="1:20">
      <c r="A110">
        <v>109</v>
      </c>
      <c r="D110" s="2"/>
      <c r="M110" s="10"/>
      <c r="N110" s="7"/>
      <c r="O110" s="5"/>
      <c r="P110" s="6"/>
      <c r="Q110" s="5"/>
    </row>
    <row r="111" spans="1:20">
      <c r="A111">
        <v>110</v>
      </c>
      <c r="D111" s="2"/>
      <c r="M111" s="10"/>
      <c r="N111" s="7"/>
      <c r="O111" s="5"/>
      <c r="P111" s="6"/>
      <c r="Q111" s="5"/>
    </row>
    <row r="112" spans="1:20">
      <c r="A112">
        <v>111</v>
      </c>
      <c r="D112" s="2"/>
      <c r="M112" s="10"/>
      <c r="N112" s="7"/>
      <c r="O112" s="5"/>
      <c r="P112" s="6"/>
      <c r="Q112" s="5"/>
    </row>
    <row r="113" spans="1:17">
      <c r="A113">
        <v>112</v>
      </c>
      <c r="D113" s="2"/>
      <c r="M113" s="10"/>
      <c r="N113" s="7"/>
      <c r="O113" s="5"/>
      <c r="P113" s="6"/>
      <c r="Q113" s="5"/>
    </row>
    <row r="114" spans="1:17">
      <c r="A114">
        <v>113</v>
      </c>
      <c r="D114" s="2"/>
      <c r="M114" s="10"/>
      <c r="N114" s="7"/>
      <c r="O114" s="5"/>
      <c r="P114" s="6"/>
      <c r="Q114" s="5"/>
    </row>
    <row r="115" spans="1:17">
      <c r="A115">
        <v>114</v>
      </c>
      <c r="D115" s="2"/>
      <c r="M115" s="10"/>
      <c r="N115" s="7"/>
      <c r="O115" s="5"/>
      <c r="P115" s="6"/>
      <c r="Q115" s="5"/>
    </row>
    <row r="116" spans="1:17">
      <c r="A116">
        <v>115</v>
      </c>
      <c r="D116" s="2"/>
      <c r="M116" s="10"/>
      <c r="N116" s="7"/>
      <c r="O116" s="5"/>
      <c r="P116" s="6"/>
      <c r="Q116" s="5"/>
    </row>
    <row r="117" spans="1:17">
      <c r="A117">
        <v>116</v>
      </c>
      <c r="D117" s="2"/>
      <c r="M117" s="10"/>
      <c r="N117" s="7"/>
      <c r="O117" s="5"/>
      <c r="P117" s="6"/>
      <c r="Q117" s="5"/>
    </row>
    <row r="118" spans="1:17">
      <c r="A118">
        <v>117</v>
      </c>
      <c r="D118" s="2"/>
      <c r="M118" s="10"/>
      <c r="N118" s="7"/>
      <c r="O118" s="5"/>
      <c r="P118" s="6"/>
      <c r="Q118" s="5"/>
    </row>
    <row r="119" spans="1:17">
      <c r="A119">
        <v>118</v>
      </c>
      <c r="D119" s="2"/>
      <c r="M119" s="10"/>
      <c r="N119" s="7"/>
      <c r="O119" s="5"/>
      <c r="P119" s="6"/>
      <c r="Q119" s="5"/>
    </row>
    <row r="120" spans="1:17">
      <c r="A120">
        <v>119</v>
      </c>
      <c r="D120" s="2"/>
      <c r="M120" s="10"/>
      <c r="N120" s="7"/>
      <c r="O120" s="5"/>
      <c r="P120" s="6"/>
      <c r="Q120" s="5"/>
    </row>
    <row r="121" spans="1:17">
      <c r="A121">
        <v>120</v>
      </c>
      <c r="D121" s="2"/>
      <c r="M121" s="10"/>
      <c r="N121" s="7"/>
      <c r="O121" s="5"/>
      <c r="P121" s="6"/>
      <c r="Q121" s="5"/>
    </row>
    <row r="122" spans="1:17">
      <c r="A122">
        <v>121</v>
      </c>
      <c r="D122" s="2"/>
      <c r="M122" s="10"/>
      <c r="N122" s="7"/>
      <c r="O122" s="5"/>
      <c r="P122" s="6"/>
      <c r="Q122" s="5"/>
    </row>
    <row r="123" spans="1:17">
      <c r="A123">
        <v>122</v>
      </c>
      <c r="D123" s="2"/>
      <c r="M123" s="10"/>
      <c r="N123" s="7"/>
      <c r="O123" s="5"/>
      <c r="P123" s="6"/>
      <c r="Q123" s="5"/>
    </row>
    <row r="124" spans="1:17">
      <c r="A124">
        <v>123</v>
      </c>
      <c r="D124" s="2"/>
      <c r="M124" s="10"/>
      <c r="N124" s="7"/>
      <c r="O124" s="5"/>
      <c r="P124" s="6"/>
      <c r="Q124" s="5"/>
    </row>
    <row r="125" spans="1:17">
      <c r="A125">
        <v>124</v>
      </c>
      <c r="D125" s="2"/>
      <c r="M125" s="10"/>
      <c r="N125" s="7"/>
      <c r="O125" s="5"/>
      <c r="P125" s="6"/>
      <c r="Q125" s="5"/>
    </row>
    <row r="126" spans="1:17">
      <c r="A126">
        <v>125</v>
      </c>
      <c r="D126" s="2"/>
      <c r="M126" s="10"/>
      <c r="N126" s="7"/>
      <c r="O126" s="5"/>
      <c r="P126" s="6"/>
      <c r="Q126" s="5"/>
    </row>
    <row r="127" spans="1:17">
      <c r="A127">
        <v>126</v>
      </c>
      <c r="D127" s="2"/>
      <c r="M127" s="10"/>
      <c r="N127" s="7"/>
      <c r="O127" s="5"/>
      <c r="P127" s="6"/>
      <c r="Q127" s="5"/>
    </row>
    <row r="128" spans="1:17">
      <c r="A128">
        <v>127</v>
      </c>
      <c r="D128" s="2"/>
      <c r="M128" s="10"/>
      <c r="N128" s="7"/>
      <c r="O128" s="5"/>
      <c r="P128" s="6"/>
      <c r="Q128" s="5"/>
    </row>
    <row r="129" spans="1:17">
      <c r="A129">
        <v>128</v>
      </c>
      <c r="D129" s="2"/>
      <c r="M129" s="10"/>
      <c r="N129" s="7"/>
      <c r="O129" s="5"/>
      <c r="P129" s="6"/>
      <c r="Q129" s="5"/>
    </row>
    <row r="130" spans="1:17">
      <c r="A130">
        <v>129</v>
      </c>
      <c r="D130" s="2"/>
      <c r="M130" s="10"/>
      <c r="N130" s="7"/>
      <c r="O130" s="5"/>
      <c r="P130" s="6"/>
      <c r="Q130" s="5"/>
    </row>
    <row r="131" spans="1:17">
      <c r="A131">
        <v>130</v>
      </c>
      <c r="D131" s="2"/>
      <c r="M131" s="10"/>
      <c r="N131" s="7"/>
      <c r="O131" s="5"/>
      <c r="P131" s="6"/>
      <c r="Q131" s="5"/>
    </row>
    <row r="132" spans="1:17">
      <c r="A132">
        <v>131</v>
      </c>
      <c r="D132" s="2"/>
      <c r="M132" s="10"/>
      <c r="N132" s="7"/>
      <c r="O132" s="5"/>
      <c r="P132" s="6"/>
      <c r="Q132" s="5"/>
    </row>
    <row r="133" spans="1:17">
      <c r="A133">
        <v>132</v>
      </c>
      <c r="D133" s="2"/>
      <c r="M133" s="10"/>
      <c r="N133" s="7"/>
      <c r="O133" s="5"/>
      <c r="P133" s="6"/>
      <c r="Q133" s="5"/>
    </row>
    <row r="134" spans="1:17">
      <c r="A134">
        <v>133</v>
      </c>
      <c r="D134" s="2"/>
      <c r="M134" s="10"/>
      <c r="N134" s="7"/>
      <c r="O134" s="5"/>
      <c r="P134" s="6"/>
      <c r="Q134" s="5"/>
    </row>
    <row r="135" spans="1:17">
      <c r="A135">
        <v>134</v>
      </c>
      <c r="D135" s="2"/>
      <c r="M135" s="10"/>
      <c r="N135" s="7"/>
      <c r="O135" s="5"/>
      <c r="P135" s="6"/>
      <c r="Q135" s="5"/>
    </row>
    <row r="136" spans="1:17">
      <c r="A136">
        <v>135</v>
      </c>
      <c r="D136" s="2"/>
      <c r="M136" s="10"/>
      <c r="N136" s="7"/>
      <c r="O136" s="5"/>
      <c r="P136" s="6"/>
      <c r="Q136" s="5"/>
    </row>
    <row r="137" spans="1:17">
      <c r="A137">
        <v>136</v>
      </c>
      <c r="D137" s="2"/>
      <c r="M137" s="10"/>
      <c r="N137" s="7"/>
      <c r="O137" s="5"/>
      <c r="P137" s="6"/>
      <c r="Q137" s="5"/>
    </row>
    <row r="138" spans="1:17">
      <c r="A138">
        <v>137</v>
      </c>
      <c r="D138" s="2"/>
      <c r="M138" s="10"/>
      <c r="N138" s="7"/>
      <c r="O138" s="5"/>
      <c r="P138" s="6"/>
      <c r="Q138" s="5"/>
    </row>
    <row r="139" spans="1:17">
      <c r="A139">
        <v>138</v>
      </c>
      <c r="D139" s="2"/>
      <c r="M139" s="10"/>
      <c r="N139" s="7"/>
      <c r="O139" s="5"/>
      <c r="P139" s="6"/>
      <c r="Q139" s="5"/>
    </row>
    <row r="140" spans="1:17">
      <c r="A140">
        <v>139</v>
      </c>
      <c r="D140" s="2"/>
      <c r="M140" s="10"/>
      <c r="N140" s="7"/>
      <c r="O140" s="5"/>
      <c r="P140" s="6"/>
      <c r="Q140" s="5"/>
    </row>
    <row r="141" spans="1:17">
      <c r="A141">
        <v>140</v>
      </c>
      <c r="D141" s="2"/>
      <c r="M141" s="10"/>
      <c r="N141" s="7"/>
      <c r="O141" s="5"/>
      <c r="P141" s="6"/>
      <c r="Q141" s="5"/>
    </row>
    <row r="142" spans="1:17">
      <c r="A142">
        <v>141</v>
      </c>
      <c r="D142" s="2"/>
      <c r="M142" s="10"/>
      <c r="N142" s="7"/>
      <c r="O142" s="5"/>
      <c r="P142" s="6"/>
      <c r="Q142" s="5"/>
    </row>
    <row r="143" spans="1:17">
      <c r="A143">
        <v>142</v>
      </c>
      <c r="D143" s="2"/>
      <c r="M143" s="10"/>
      <c r="N143" s="7"/>
      <c r="O143" s="5"/>
      <c r="P143" s="6"/>
      <c r="Q143" s="5"/>
    </row>
    <row r="144" spans="1:17">
      <c r="A144">
        <v>143</v>
      </c>
      <c r="D144" s="2"/>
      <c r="M144" s="10"/>
      <c r="N144" s="7"/>
      <c r="O144" s="5"/>
      <c r="P144" s="6"/>
      <c r="Q144" s="5"/>
    </row>
    <row r="145" spans="1:17">
      <c r="A145">
        <v>144</v>
      </c>
      <c r="D145" s="2"/>
      <c r="M145" s="10"/>
      <c r="N145" s="7"/>
      <c r="O145" s="5"/>
      <c r="P145" s="6"/>
      <c r="Q145" s="5"/>
    </row>
    <row r="146" spans="1:17">
      <c r="A146">
        <v>145</v>
      </c>
      <c r="D146" s="2"/>
      <c r="M146" s="10"/>
      <c r="N146" s="7"/>
      <c r="O146" s="5"/>
      <c r="P146" s="6"/>
      <c r="Q146" s="5"/>
    </row>
    <row r="147" spans="1:17">
      <c r="A147">
        <v>146</v>
      </c>
      <c r="D147" s="2"/>
      <c r="M147" s="10"/>
      <c r="N147" s="7"/>
      <c r="O147" s="5"/>
      <c r="P147" s="6"/>
      <c r="Q147" s="5"/>
    </row>
    <row r="148" spans="1:17">
      <c r="A148">
        <v>147</v>
      </c>
      <c r="D148" s="2"/>
      <c r="M148" s="10"/>
      <c r="N148" s="7"/>
      <c r="O148" s="5"/>
      <c r="P148" s="6"/>
      <c r="Q148" s="5"/>
    </row>
    <row r="149" spans="1:17">
      <c r="A149">
        <v>148</v>
      </c>
      <c r="D149" s="2"/>
      <c r="M149" s="10"/>
      <c r="N149" s="7"/>
      <c r="O149" s="5"/>
      <c r="P149" s="6"/>
      <c r="Q149" s="5"/>
    </row>
    <row r="150" spans="1:17">
      <c r="A150">
        <v>149</v>
      </c>
      <c r="D150" s="2"/>
      <c r="M150" s="10"/>
      <c r="N150" s="7"/>
      <c r="O150" s="5"/>
      <c r="P150" s="6"/>
      <c r="Q150" s="5"/>
    </row>
    <row r="151" spans="1:17">
      <c r="A151">
        <v>150</v>
      </c>
      <c r="D151" s="2"/>
      <c r="M151" s="10"/>
      <c r="N151" s="7"/>
      <c r="O151" s="5"/>
      <c r="P151" s="6"/>
      <c r="Q151" s="5"/>
    </row>
    <row r="152" spans="1:17">
      <c r="A152">
        <v>151</v>
      </c>
      <c r="D152" s="2"/>
      <c r="M152" s="10"/>
      <c r="N152" s="7"/>
      <c r="O152" s="5"/>
      <c r="P152" s="6"/>
      <c r="Q152" s="5"/>
    </row>
    <row r="153" spans="1:17">
      <c r="A153">
        <v>152</v>
      </c>
      <c r="D153" s="2"/>
      <c r="M153" s="10"/>
      <c r="N153" s="7"/>
      <c r="O153" s="5"/>
      <c r="P153" s="6"/>
      <c r="Q153" s="5"/>
    </row>
    <row r="154" spans="1:17">
      <c r="A154">
        <v>153</v>
      </c>
      <c r="D154" s="2"/>
      <c r="M154" s="10"/>
      <c r="N154" s="7"/>
      <c r="O154" s="5"/>
      <c r="P154" s="6"/>
      <c r="Q154" s="5"/>
    </row>
    <row r="155" spans="1:17">
      <c r="A155">
        <v>154</v>
      </c>
      <c r="D155" s="2"/>
      <c r="M155" s="10"/>
      <c r="N155" s="7"/>
      <c r="O155" s="5"/>
      <c r="P155" s="6"/>
      <c r="Q155" s="5"/>
    </row>
    <row r="156" spans="1:17">
      <c r="A156">
        <v>155</v>
      </c>
      <c r="D156" s="2"/>
      <c r="M156" s="10"/>
      <c r="N156" s="7"/>
      <c r="O156" s="5"/>
      <c r="P156" s="6"/>
      <c r="Q156" s="5"/>
    </row>
    <row r="157" spans="1:17">
      <c r="A157">
        <v>156</v>
      </c>
      <c r="D157" s="2"/>
      <c r="M157" s="10"/>
      <c r="N157" s="7"/>
      <c r="O157" s="5"/>
      <c r="P157" s="6"/>
      <c r="Q157" s="5"/>
    </row>
    <row r="158" spans="1:17">
      <c r="A158">
        <v>157</v>
      </c>
      <c r="D158" s="2"/>
      <c r="M158" s="10"/>
      <c r="N158" s="7"/>
      <c r="O158" s="5"/>
      <c r="P158" s="6"/>
      <c r="Q158" s="5"/>
    </row>
    <row r="159" spans="1:17">
      <c r="A159">
        <v>158</v>
      </c>
      <c r="D159" s="2"/>
      <c r="M159" s="10"/>
      <c r="N159" s="7"/>
      <c r="O159" s="5"/>
      <c r="P159" s="6"/>
      <c r="Q159" s="5"/>
    </row>
    <row r="160" spans="1:17">
      <c r="A160">
        <v>159</v>
      </c>
      <c r="D160" s="2"/>
      <c r="M160" s="10"/>
      <c r="N160" s="7"/>
      <c r="O160" s="5"/>
      <c r="P160" s="6"/>
      <c r="Q160" s="5"/>
    </row>
    <row r="161" spans="1:17">
      <c r="A161">
        <v>160</v>
      </c>
      <c r="D161" s="2"/>
      <c r="M161" s="10"/>
      <c r="N161" s="7"/>
      <c r="O161" s="5"/>
      <c r="P161" s="6"/>
      <c r="Q161" s="5"/>
    </row>
    <row r="162" spans="1:17">
      <c r="A162">
        <v>161</v>
      </c>
      <c r="D162" s="2"/>
      <c r="M162" s="10"/>
      <c r="N162" s="7"/>
      <c r="O162" s="5"/>
      <c r="P162" s="6"/>
      <c r="Q162" s="5"/>
    </row>
    <row r="163" spans="1:17">
      <c r="A163">
        <v>162</v>
      </c>
      <c r="D163" s="2"/>
      <c r="M163" s="10"/>
      <c r="N163" s="7"/>
      <c r="O163" s="5"/>
      <c r="P163" s="6"/>
      <c r="Q163" s="5"/>
    </row>
    <row r="164" spans="1:17">
      <c r="A164">
        <v>163</v>
      </c>
      <c r="D164" s="2"/>
      <c r="M164" s="10"/>
      <c r="N164" s="7"/>
      <c r="O164" s="5"/>
      <c r="P164" s="6"/>
      <c r="Q164" s="5"/>
    </row>
    <row r="165" spans="1:17">
      <c r="A165">
        <v>164</v>
      </c>
      <c r="D165" s="2"/>
      <c r="M165" s="10"/>
      <c r="N165" s="7"/>
      <c r="O165" s="5"/>
      <c r="P165" s="6"/>
      <c r="Q165" s="5"/>
    </row>
    <row r="166" spans="1:17">
      <c r="A166">
        <v>165</v>
      </c>
      <c r="D166" s="2"/>
      <c r="M166" s="10"/>
      <c r="N166" s="7"/>
      <c r="O166" s="5"/>
      <c r="P166" s="6"/>
      <c r="Q166" s="5"/>
    </row>
    <row r="167" spans="1:17">
      <c r="A167">
        <v>166</v>
      </c>
      <c r="D167" s="2"/>
      <c r="M167" s="10"/>
      <c r="N167" s="7"/>
      <c r="O167" s="5"/>
      <c r="P167" s="6"/>
      <c r="Q167" s="5"/>
    </row>
    <row r="168" spans="1:17">
      <c r="A168">
        <v>167</v>
      </c>
      <c r="D168" s="2"/>
      <c r="M168" s="10"/>
      <c r="N168" s="7"/>
      <c r="O168" s="5"/>
      <c r="P168" s="6"/>
      <c r="Q168" s="5"/>
    </row>
    <row r="169" spans="1:17">
      <c r="A169">
        <v>168</v>
      </c>
      <c r="D169" s="2"/>
      <c r="M169" s="10"/>
      <c r="N169" s="7"/>
      <c r="O169" s="5"/>
      <c r="P169" s="6"/>
      <c r="Q169" s="5"/>
    </row>
    <row r="170" spans="1:17">
      <c r="A170">
        <v>169</v>
      </c>
      <c r="D170" s="2"/>
      <c r="M170" s="10"/>
      <c r="N170" s="7"/>
      <c r="O170" s="5"/>
      <c r="P170" s="6"/>
      <c r="Q170" s="5"/>
    </row>
    <row r="171" spans="1:17">
      <c r="A171">
        <v>170</v>
      </c>
      <c r="D171" s="2"/>
      <c r="M171" s="10"/>
      <c r="N171" s="7"/>
      <c r="O171" s="5"/>
      <c r="P171" s="6"/>
      <c r="Q171" s="5"/>
    </row>
    <row r="172" spans="1:17">
      <c r="A172">
        <v>171</v>
      </c>
      <c r="D172" s="2"/>
      <c r="M172" s="10"/>
      <c r="N172" s="7"/>
      <c r="O172" s="5"/>
      <c r="P172" s="6"/>
      <c r="Q172" s="5"/>
    </row>
    <row r="173" spans="1:17">
      <c r="A173">
        <v>172</v>
      </c>
      <c r="D173" s="2"/>
      <c r="M173" s="10"/>
      <c r="N173" s="7"/>
      <c r="O173" s="5"/>
      <c r="P173" s="6"/>
      <c r="Q173" s="5"/>
    </row>
    <row r="174" spans="1:17">
      <c r="A174">
        <v>173</v>
      </c>
      <c r="D174" s="2"/>
      <c r="M174" s="10"/>
      <c r="N174" s="7"/>
      <c r="O174" s="5"/>
      <c r="P174" s="6"/>
      <c r="Q174" s="5"/>
    </row>
    <row r="175" spans="1:17">
      <c r="A175">
        <v>174</v>
      </c>
      <c r="D175" s="2"/>
      <c r="M175" s="10"/>
      <c r="N175" s="7"/>
      <c r="O175" s="5"/>
      <c r="P175" s="6"/>
      <c r="Q175" s="5"/>
    </row>
    <row r="176" spans="1:17">
      <c r="A176">
        <v>175</v>
      </c>
      <c r="D176" s="2"/>
      <c r="M176" s="10"/>
      <c r="N176" s="7"/>
      <c r="O176" s="5"/>
      <c r="P176" s="6"/>
      <c r="Q176" s="5"/>
    </row>
    <row r="177" spans="1:17">
      <c r="A177">
        <v>176</v>
      </c>
      <c r="D177" s="2"/>
      <c r="M177" s="10"/>
      <c r="N177" s="7"/>
      <c r="O177" s="5"/>
      <c r="P177" s="6"/>
      <c r="Q177" s="5"/>
    </row>
    <row r="178" spans="1:17">
      <c r="A178">
        <v>177</v>
      </c>
      <c r="D178" s="2"/>
      <c r="M178" s="10"/>
      <c r="N178" s="7"/>
      <c r="O178" s="5"/>
      <c r="P178" s="6"/>
      <c r="Q178" s="5"/>
    </row>
    <row r="179" spans="1:17">
      <c r="A179">
        <v>178</v>
      </c>
      <c r="D179" s="2"/>
      <c r="M179" s="10"/>
      <c r="N179" s="7"/>
      <c r="O179" s="5"/>
      <c r="P179" s="6"/>
      <c r="Q179" s="5"/>
    </row>
    <row r="180" spans="1:17">
      <c r="A180">
        <v>179</v>
      </c>
      <c r="D180" s="2"/>
      <c r="M180" s="10"/>
      <c r="N180" s="7"/>
      <c r="O180" s="5"/>
      <c r="P180" s="6"/>
      <c r="Q180" s="5"/>
    </row>
    <row r="181" spans="1:17">
      <c r="A181">
        <v>180</v>
      </c>
      <c r="D181" s="2"/>
      <c r="M181" s="10"/>
      <c r="N181" s="7"/>
      <c r="O181" s="5"/>
      <c r="P181" s="6"/>
      <c r="Q181" s="5"/>
    </row>
    <row r="182" spans="1:17">
      <c r="A182">
        <v>181</v>
      </c>
      <c r="D182" s="2"/>
      <c r="M182" s="10"/>
      <c r="N182" s="7"/>
      <c r="O182" s="5"/>
      <c r="P182" s="6"/>
      <c r="Q182" s="5"/>
    </row>
    <row r="183" spans="1:17">
      <c r="A183">
        <v>182</v>
      </c>
      <c r="D183" s="2"/>
      <c r="M183" s="10"/>
      <c r="N183" s="7"/>
      <c r="O183" s="5"/>
      <c r="P183" s="6"/>
      <c r="Q183" s="5"/>
    </row>
    <row r="184" spans="1:17">
      <c r="A184">
        <v>183</v>
      </c>
      <c r="D184" s="2"/>
      <c r="M184" s="10"/>
      <c r="N184" s="7"/>
      <c r="O184" s="5"/>
      <c r="P184" s="6"/>
      <c r="Q184" s="5"/>
    </row>
    <row r="185" spans="1:17">
      <c r="A185">
        <v>184</v>
      </c>
      <c r="D185" s="2"/>
      <c r="M185" s="10"/>
      <c r="N185" s="7"/>
      <c r="O185" s="5"/>
      <c r="P185" s="6"/>
      <c r="Q185" s="5"/>
    </row>
    <row r="186" spans="1:17">
      <c r="A186">
        <v>185</v>
      </c>
      <c r="D186" s="2"/>
      <c r="M186" s="10"/>
      <c r="N186" s="7"/>
      <c r="O186" s="5"/>
      <c r="P186" s="6"/>
      <c r="Q186" s="5"/>
    </row>
    <row r="187" spans="1:17">
      <c r="A187">
        <v>186</v>
      </c>
      <c r="D187" s="2"/>
      <c r="M187" s="10"/>
      <c r="N187" s="7"/>
      <c r="O187" s="5"/>
      <c r="P187" s="6"/>
      <c r="Q187" s="5"/>
    </row>
    <row r="188" spans="1:17">
      <c r="A188">
        <v>187</v>
      </c>
      <c r="D188" s="2"/>
      <c r="M188" s="10"/>
      <c r="N188" s="7"/>
      <c r="O188" s="5"/>
      <c r="P188" s="6"/>
      <c r="Q188" s="5"/>
    </row>
    <row r="189" spans="1:17">
      <c r="A189">
        <v>188</v>
      </c>
      <c r="D189" s="2"/>
      <c r="M189" s="10"/>
      <c r="N189" s="7"/>
      <c r="O189" s="5"/>
      <c r="P189" s="6"/>
      <c r="Q189" s="5"/>
    </row>
    <row r="190" spans="1:17">
      <c r="A190">
        <v>189</v>
      </c>
      <c r="D190" s="2"/>
      <c r="M190" s="10"/>
      <c r="N190" s="7"/>
      <c r="O190" s="5"/>
      <c r="P190" s="6"/>
      <c r="Q190" s="5"/>
    </row>
    <row r="191" spans="1:17">
      <c r="A191">
        <v>190</v>
      </c>
      <c r="D191" s="2"/>
      <c r="M191" s="10"/>
      <c r="N191" s="7"/>
      <c r="O191" s="5"/>
      <c r="P191" s="6"/>
      <c r="Q191" s="5"/>
    </row>
    <row r="192" spans="1:17">
      <c r="A192">
        <v>191</v>
      </c>
      <c r="D192" s="2"/>
      <c r="M192" s="10"/>
      <c r="N192" s="7"/>
      <c r="O192" s="5"/>
      <c r="P192" s="6"/>
      <c r="Q192" s="5"/>
    </row>
    <row r="193" spans="1:17">
      <c r="A193">
        <v>192</v>
      </c>
      <c r="D193" s="2"/>
      <c r="M193" s="10"/>
      <c r="N193" s="7"/>
      <c r="O193" s="5"/>
      <c r="P193" s="6"/>
      <c r="Q193" s="5"/>
    </row>
    <row r="194" spans="1:17">
      <c r="A194">
        <v>193</v>
      </c>
      <c r="D194" s="2"/>
      <c r="M194" s="10"/>
      <c r="N194" s="7"/>
      <c r="O194" s="5"/>
      <c r="P194" s="6"/>
      <c r="Q194" s="5"/>
    </row>
    <row r="195" spans="1:17">
      <c r="A195">
        <v>194</v>
      </c>
      <c r="D195" s="2"/>
      <c r="M195" s="10"/>
      <c r="N195" s="7"/>
      <c r="O195" s="5"/>
      <c r="P195" s="6"/>
      <c r="Q195" s="5"/>
    </row>
    <row r="196" spans="1:17">
      <c r="A196">
        <v>195</v>
      </c>
      <c r="D196" s="2"/>
      <c r="M196" s="10"/>
      <c r="N196" s="7"/>
      <c r="O196" s="5"/>
      <c r="P196" s="6"/>
      <c r="Q196" s="5"/>
    </row>
    <row r="197" spans="1:17">
      <c r="A197">
        <v>196</v>
      </c>
      <c r="D197" s="2"/>
      <c r="M197" s="10"/>
      <c r="N197" s="7"/>
      <c r="O197" s="5"/>
      <c r="P197" s="6"/>
      <c r="Q197" s="5"/>
    </row>
    <row r="198" spans="1:17">
      <c r="A198">
        <v>197</v>
      </c>
      <c r="D198" s="2"/>
      <c r="M198" s="10"/>
      <c r="N198" s="7"/>
      <c r="O198" s="5"/>
      <c r="P198" s="6"/>
      <c r="Q198" s="5"/>
    </row>
    <row r="199" spans="1:17">
      <c r="A199">
        <v>198</v>
      </c>
      <c r="D199" s="2"/>
      <c r="M199" s="10"/>
      <c r="N199" s="7"/>
      <c r="O199" s="5"/>
      <c r="P199" s="6"/>
      <c r="Q199" s="5"/>
    </row>
    <row r="200" spans="1:17">
      <c r="A200">
        <v>199</v>
      </c>
      <c r="D200" s="2"/>
      <c r="M200" s="10"/>
      <c r="N200" s="7"/>
      <c r="O200" s="5"/>
      <c r="P200" s="6"/>
      <c r="Q200" s="5"/>
    </row>
    <row r="201" spans="1:17">
      <c r="A201">
        <v>200</v>
      </c>
      <c r="D201" s="2"/>
      <c r="M201" s="10"/>
      <c r="N201" s="7"/>
      <c r="O201" s="5"/>
      <c r="P201" s="6"/>
      <c r="Q201" s="5"/>
    </row>
    <row r="202" spans="1:17">
      <c r="A202">
        <v>201</v>
      </c>
      <c r="D202" s="2"/>
      <c r="M202" s="10"/>
      <c r="N202" s="7"/>
      <c r="O202" s="5"/>
      <c r="P202" s="6"/>
      <c r="Q202" s="5"/>
    </row>
    <row r="203" spans="1:17">
      <c r="A203">
        <v>202</v>
      </c>
      <c r="D203" s="2"/>
      <c r="M203" s="10"/>
      <c r="N203" s="7"/>
      <c r="O203" s="5"/>
      <c r="P203" s="6"/>
      <c r="Q203" s="5"/>
    </row>
    <row r="204" spans="1:17">
      <c r="A204">
        <v>203</v>
      </c>
      <c r="D204" s="2"/>
      <c r="M204" s="10"/>
      <c r="N204" s="7"/>
      <c r="O204" s="5"/>
      <c r="P204" s="6"/>
      <c r="Q204" s="5"/>
    </row>
    <row r="205" spans="1:17">
      <c r="A205">
        <v>204</v>
      </c>
      <c r="D205" s="2"/>
      <c r="M205" s="10"/>
      <c r="N205" s="7"/>
      <c r="O205" s="5"/>
      <c r="P205" s="6"/>
      <c r="Q205" s="5"/>
    </row>
    <row r="206" spans="1:17">
      <c r="A206">
        <v>205</v>
      </c>
      <c r="D206" s="2"/>
      <c r="M206" s="10"/>
      <c r="N206" s="7"/>
      <c r="O206" s="5"/>
      <c r="P206" s="6"/>
      <c r="Q206" s="5"/>
    </row>
    <row r="207" spans="1:17">
      <c r="A207">
        <v>206</v>
      </c>
      <c r="D207" s="2"/>
      <c r="M207" s="10"/>
      <c r="N207" s="7"/>
      <c r="O207" s="5"/>
      <c r="P207" s="6"/>
      <c r="Q207" s="5"/>
    </row>
    <row r="208" spans="1:17">
      <c r="A208">
        <v>207</v>
      </c>
      <c r="D208" s="2"/>
      <c r="M208" s="10"/>
      <c r="N208" s="7"/>
      <c r="O208" s="5"/>
      <c r="P208" s="6"/>
      <c r="Q208" s="5"/>
    </row>
    <row r="209" spans="1:17">
      <c r="A209">
        <v>208</v>
      </c>
      <c r="D209" s="2"/>
      <c r="M209" s="10"/>
      <c r="N209" s="7"/>
      <c r="O209" s="5"/>
      <c r="P209" s="6"/>
      <c r="Q209" s="5"/>
    </row>
    <row r="210" spans="1:17">
      <c r="A210">
        <v>209</v>
      </c>
      <c r="D210" s="2"/>
      <c r="M210" s="10"/>
      <c r="N210" s="7"/>
      <c r="O210" s="5"/>
      <c r="P210" s="6"/>
      <c r="Q210" s="5"/>
    </row>
    <row r="211" spans="1:17">
      <c r="A211">
        <v>210</v>
      </c>
      <c r="D211" s="2"/>
      <c r="M211" s="10"/>
      <c r="N211" s="7"/>
      <c r="O211" s="5"/>
      <c r="P211" s="6"/>
      <c r="Q211" s="5"/>
    </row>
    <row r="212" spans="1:17">
      <c r="A212">
        <v>211</v>
      </c>
      <c r="D212" s="2"/>
      <c r="M212" s="10"/>
      <c r="N212" s="7"/>
      <c r="O212" s="5"/>
      <c r="P212" s="6"/>
      <c r="Q212" s="5"/>
    </row>
    <row r="213" spans="1:17">
      <c r="A213">
        <v>212</v>
      </c>
      <c r="D213" s="2"/>
      <c r="M213" s="10"/>
      <c r="N213" s="7"/>
      <c r="O213" s="5"/>
      <c r="P213" s="6"/>
      <c r="Q213" s="5"/>
    </row>
    <row r="214" spans="1:17">
      <c r="A214">
        <v>213</v>
      </c>
      <c r="D214" s="2"/>
      <c r="M214" s="10"/>
      <c r="N214" s="7"/>
      <c r="O214" s="5"/>
      <c r="P214" s="6"/>
      <c r="Q214" s="5"/>
    </row>
    <row r="215" spans="1:17">
      <c r="A215">
        <v>214</v>
      </c>
      <c r="D215" s="2"/>
      <c r="M215" s="10"/>
      <c r="N215" s="7"/>
      <c r="O215" s="5"/>
      <c r="P215" s="6"/>
      <c r="Q215" s="5"/>
    </row>
    <row r="216" spans="1:17">
      <c r="A216">
        <v>215</v>
      </c>
      <c r="D216" s="2"/>
      <c r="M216" s="10"/>
      <c r="N216" s="7"/>
      <c r="O216" s="5"/>
      <c r="P216" s="6"/>
      <c r="Q216" s="5"/>
    </row>
    <row r="217" spans="1:17">
      <c r="A217">
        <v>216</v>
      </c>
      <c r="D217" s="2"/>
      <c r="M217" s="10"/>
      <c r="N217" s="7"/>
      <c r="O217" s="5"/>
      <c r="P217" s="6"/>
      <c r="Q217" s="5"/>
    </row>
    <row r="218" spans="1:17">
      <c r="A218">
        <v>217</v>
      </c>
      <c r="D218" s="2"/>
      <c r="M218" s="10"/>
      <c r="N218" s="7"/>
      <c r="O218" s="5"/>
      <c r="P218" s="6"/>
      <c r="Q218" s="5"/>
    </row>
    <row r="219" spans="1:17">
      <c r="A219">
        <v>218</v>
      </c>
      <c r="D219" s="2"/>
      <c r="M219" s="10"/>
      <c r="N219" s="7"/>
      <c r="O219" s="5"/>
      <c r="P219" s="6"/>
      <c r="Q219" s="5"/>
    </row>
    <row r="220" spans="1:17">
      <c r="A220">
        <v>219</v>
      </c>
      <c r="D220" s="2"/>
      <c r="M220" s="10"/>
      <c r="N220" s="7"/>
      <c r="O220" s="5"/>
      <c r="P220" s="6"/>
      <c r="Q220" s="5"/>
    </row>
    <row r="221" spans="1:17">
      <c r="A221">
        <v>220</v>
      </c>
      <c r="D221" s="2"/>
      <c r="M221" s="10"/>
      <c r="N221" s="7"/>
      <c r="O221" s="5"/>
      <c r="P221" s="6"/>
      <c r="Q221" s="5"/>
    </row>
    <row r="222" spans="1:17">
      <c r="A222">
        <v>221</v>
      </c>
      <c r="D222" s="2"/>
      <c r="M222" s="10"/>
      <c r="N222" s="7"/>
      <c r="O222" s="5"/>
      <c r="P222" s="6"/>
      <c r="Q222" s="5"/>
    </row>
    <row r="223" spans="1:17">
      <c r="A223">
        <v>222</v>
      </c>
      <c r="D223" s="2"/>
      <c r="M223" s="10"/>
      <c r="N223" s="7"/>
      <c r="O223" s="5"/>
      <c r="P223" s="6"/>
      <c r="Q223" s="5"/>
    </row>
    <row r="224" spans="1:17">
      <c r="A224">
        <v>223</v>
      </c>
      <c r="D224" s="2"/>
      <c r="M224" s="10"/>
      <c r="N224" s="7"/>
      <c r="O224" s="5"/>
      <c r="P224" s="6"/>
      <c r="Q224" s="5"/>
    </row>
    <row r="225" spans="1:17">
      <c r="A225">
        <v>224</v>
      </c>
      <c r="D225" s="2"/>
      <c r="M225" s="10"/>
      <c r="N225" s="7"/>
      <c r="O225" s="5"/>
      <c r="P225" s="6"/>
      <c r="Q225" s="5"/>
    </row>
    <row r="226" spans="1:17">
      <c r="A226">
        <v>225</v>
      </c>
      <c r="D226" s="2"/>
      <c r="M226" s="10"/>
      <c r="N226" s="7"/>
      <c r="O226" s="5"/>
      <c r="P226" s="6"/>
      <c r="Q226" s="5"/>
    </row>
    <row r="227" spans="1:17">
      <c r="A227">
        <v>226</v>
      </c>
      <c r="D227" s="2"/>
      <c r="M227" s="10"/>
      <c r="N227" s="7"/>
      <c r="O227" s="5"/>
      <c r="P227" s="6"/>
      <c r="Q227" s="5"/>
    </row>
    <row r="228" spans="1:17">
      <c r="A228">
        <v>227</v>
      </c>
      <c r="D228" s="2"/>
      <c r="M228" s="10"/>
      <c r="N228" s="7"/>
      <c r="O228" s="5"/>
      <c r="P228" s="6"/>
      <c r="Q228" s="5"/>
    </row>
    <row r="229" spans="1:17">
      <c r="A229">
        <v>228</v>
      </c>
      <c r="D229" s="2"/>
      <c r="M229" s="10"/>
      <c r="N229" s="7"/>
      <c r="O229" s="5"/>
      <c r="P229" s="6"/>
      <c r="Q229" s="5"/>
    </row>
    <row r="230" spans="1:17">
      <c r="A230">
        <v>229</v>
      </c>
      <c r="D230" s="2"/>
      <c r="M230" s="10"/>
      <c r="N230" s="7"/>
      <c r="O230" s="5"/>
      <c r="P230" s="6"/>
      <c r="Q230" s="5"/>
    </row>
    <row r="231" spans="1:17">
      <c r="A231">
        <v>230</v>
      </c>
      <c r="D231" s="2"/>
      <c r="M231" s="10"/>
      <c r="N231" s="7"/>
      <c r="O231" s="5"/>
      <c r="P231" s="6"/>
      <c r="Q231" s="5"/>
    </row>
    <row r="232" spans="1:17">
      <c r="A232">
        <v>231</v>
      </c>
      <c r="D232" s="2"/>
      <c r="M232" s="10"/>
      <c r="N232" s="7"/>
      <c r="O232" s="5"/>
      <c r="P232" s="6"/>
      <c r="Q232" s="5"/>
    </row>
    <row r="233" spans="1:17">
      <c r="A233">
        <v>232</v>
      </c>
      <c r="D233" s="2"/>
      <c r="M233" s="10"/>
      <c r="N233" s="7"/>
      <c r="O233" s="5"/>
      <c r="P233" s="6"/>
      <c r="Q233" s="5"/>
    </row>
    <row r="234" spans="1:17">
      <c r="A234">
        <v>233</v>
      </c>
      <c r="D234" s="2"/>
      <c r="M234" s="10"/>
      <c r="N234" s="7"/>
      <c r="O234" s="5"/>
      <c r="P234" s="6"/>
      <c r="Q234" s="5"/>
    </row>
    <row r="235" spans="1:17">
      <c r="A235">
        <v>234</v>
      </c>
      <c r="D235" s="2"/>
      <c r="M235" s="10"/>
      <c r="N235" s="7"/>
      <c r="O235" s="5"/>
      <c r="P235" s="6"/>
      <c r="Q235" s="5"/>
    </row>
    <row r="236" spans="1:17">
      <c r="A236">
        <v>235</v>
      </c>
      <c r="D236" s="2"/>
      <c r="M236" s="10"/>
      <c r="N236" s="7"/>
      <c r="O236" s="5"/>
      <c r="P236" s="6"/>
      <c r="Q236" s="5"/>
    </row>
    <row r="237" spans="1:17">
      <c r="A237">
        <v>236</v>
      </c>
      <c r="D237" s="2"/>
      <c r="M237" s="10"/>
      <c r="N237" s="7"/>
      <c r="O237" s="5"/>
      <c r="P237" s="6"/>
      <c r="Q237" s="5"/>
    </row>
    <row r="238" spans="1:17">
      <c r="A238">
        <v>237</v>
      </c>
      <c r="D238" s="2"/>
      <c r="M238" s="10"/>
      <c r="N238" s="7"/>
      <c r="O238" s="5"/>
      <c r="P238" s="6"/>
      <c r="Q238" s="5"/>
    </row>
    <row r="239" spans="1:17">
      <c r="A239">
        <v>238</v>
      </c>
      <c r="D239" s="2"/>
      <c r="M239" s="10"/>
      <c r="N239" s="7"/>
      <c r="O239" s="5"/>
      <c r="P239" s="6"/>
      <c r="Q239" s="5"/>
    </row>
    <row r="240" spans="1:17">
      <c r="A240">
        <v>239</v>
      </c>
      <c r="D240" s="2"/>
      <c r="M240" s="10"/>
      <c r="N240" s="7"/>
      <c r="O240" s="5"/>
      <c r="P240" s="6"/>
      <c r="Q240" s="5"/>
    </row>
    <row r="241" spans="1:17">
      <c r="A241">
        <v>240</v>
      </c>
      <c r="D241" s="2"/>
      <c r="M241" s="10"/>
      <c r="N241" s="7"/>
      <c r="O241" s="5"/>
      <c r="P241" s="6"/>
      <c r="Q241" s="5"/>
    </row>
    <row r="242" spans="1:17">
      <c r="A242">
        <v>241</v>
      </c>
      <c r="D242" s="2"/>
      <c r="M242" s="10"/>
      <c r="N242" s="7"/>
      <c r="O242" s="5"/>
      <c r="P242" s="6"/>
      <c r="Q242" s="5"/>
    </row>
    <row r="243" spans="1:17">
      <c r="A243">
        <v>242</v>
      </c>
      <c r="D243" s="2"/>
      <c r="M243" s="10"/>
      <c r="N243" s="7"/>
      <c r="O243" s="5"/>
      <c r="P243" s="6"/>
      <c r="Q243" s="5"/>
    </row>
    <row r="244" spans="1:17">
      <c r="A244">
        <v>243</v>
      </c>
      <c r="D244" s="2"/>
      <c r="M244" s="10"/>
      <c r="N244" s="7"/>
      <c r="O244" s="5"/>
      <c r="P244" s="6"/>
      <c r="Q244" s="5"/>
    </row>
    <row r="245" spans="1:17">
      <c r="A245">
        <v>244</v>
      </c>
      <c r="D245" s="2"/>
      <c r="M245" s="10"/>
      <c r="N245" s="7"/>
      <c r="O245" s="5"/>
      <c r="P245" s="6"/>
      <c r="Q245" s="5"/>
    </row>
    <row r="246" spans="1:17">
      <c r="A246">
        <v>245</v>
      </c>
      <c r="D246" s="2"/>
      <c r="M246" s="10"/>
      <c r="N246" s="7"/>
      <c r="O246" s="5"/>
      <c r="P246" s="6"/>
      <c r="Q246" s="5"/>
    </row>
    <row r="247" spans="1:17">
      <c r="A247">
        <v>246</v>
      </c>
      <c r="D247" s="2"/>
      <c r="M247" s="10"/>
      <c r="N247" s="7"/>
      <c r="O247" s="5"/>
      <c r="P247" s="6"/>
      <c r="Q247" s="5"/>
    </row>
    <row r="248" spans="1:17">
      <c r="A248">
        <v>247</v>
      </c>
      <c r="D248" s="2"/>
      <c r="M248" s="10"/>
      <c r="N248" s="3"/>
      <c r="O248" s="5"/>
      <c r="P248" s="6"/>
      <c r="Q248" s="5"/>
    </row>
    <row r="249" spans="1:17">
      <c r="A249">
        <v>248</v>
      </c>
      <c r="D249" s="2"/>
      <c r="M249" s="10"/>
      <c r="N249" s="3"/>
      <c r="O249" s="5"/>
      <c r="P249" s="6"/>
      <c r="Q249" s="5"/>
    </row>
    <row r="250" spans="1:17">
      <c r="A250">
        <v>249</v>
      </c>
      <c r="D250" s="2"/>
      <c r="M250" s="10"/>
      <c r="N250" s="3"/>
      <c r="O250" s="5"/>
      <c r="P250" s="6"/>
      <c r="Q250" s="5"/>
    </row>
    <row r="251" spans="1:17">
      <c r="A251">
        <v>250</v>
      </c>
      <c r="D251" s="2"/>
      <c r="M251" s="10"/>
      <c r="N251" s="3"/>
      <c r="O251" s="5"/>
      <c r="P251" s="6"/>
      <c r="Q251" s="5"/>
    </row>
    <row r="252" spans="1:17">
      <c r="A252">
        <v>251</v>
      </c>
      <c r="D252" s="2"/>
      <c r="M252" s="10"/>
      <c r="N252" s="3"/>
      <c r="O252" s="5"/>
      <c r="P252" s="6"/>
      <c r="Q252" s="5"/>
    </row>
    <row r="253" spans="1:17">
      <c r="A253">
        <v>252</v>
      </c>
      <c r="D253" s="2"/>
      <c r="M253" s="10"/>
      <c r="N253" s="3"/>
      <c r="O253" s="5"/>
      <c r="P253" s="6"/>
      <c r="Q253" s="5"/>
    </row>
    <row r="254" spans="1:17">
      <c r="A254">
        <v>253</v>
      </c>
      <c r="D254" s="2"/>
      <c r="M254" s="10"/>
      <c r="N254" s="3"/>
      <c r="O254" s="5"/>
      <c r="P254" s="6"/>
      <c r="Q254" s="5"/>
    </row>
    <row r="255" spans="1:17">
      <c r="A255">
        <v>254</v>
      </c>
      <c r="D255" s="2"/>
      <c r="M255" s="10"/>
      <c r="N255" s="3"/>
      <c r="O255" s="5"/>
      <c r="P255" s="6"/>
      <c r="Q255" s="5"/>
    </row>
    <row r="256" spans="1:17">
      <c r="A256">
        <v>255</v>
      </c>
      <c r="D256" s="2"/>
      <c r="M256" s="10"/>
      <c r="N256" s="3"/>
      <c r="O256" s="5"/>
      <c r="P256" s="6"/>
      <c r="Q256" s="5"/>
    </row>
    <row r="257" spans="1:17">
      <c r="A257">
        <v>256</v>
      </c>
      <c r="D257" s="2"/>
      <c r="M257" s="10"/>
      <c r="N257" s="3"/>
      <c r="O257" s="5"/>
      <c r="P257" s="6"/>
      <c r="Q257" s="5"/>
    </row>
    <row r="258" spans="1:17">
      <c r="A258">
        <v>257</v>
      </c>
      <c r="D258" s="2"/>
      <c r="M258" s="10"/>
      <c r="N258" s="3"/>
      <c r="O258" s="5"/>
      <c r="P258" s="6"/>
      <c r="Q258" s="5"/>
    </row>
    <row r="259" spans="1:17">
      <c r="A259">
        <v>258</v>
      </c>
      <c r="D259" s="2"/>
      <c r="M259" s="10"/>
      <c r="N259" s="3"/>
      <c r="O259" s="5"/>
      <c r="P259" s="6"/>
      <c r="Q259" s="5"/>
    </row>
    <row r="260" spans="1:17">
      <c r="A260">
        <v>259</v>
      </c>
      <c r="D260" s="2"/>
      <c r="M260" s="10"/>
      <c r="N260" s="3"/>
      <c r="O260" s="5"/>
      <c r="P260" s="6"/>
      <c r="Q260" s="5"/>
    </row>
    <row r="261" spans="1:17">
      <c r="A261">
        <v>260</v>
      </c>
      <c r="D261" s="2"/>
      <c r="M261" s="10"/>
      <c r="N261" s="3"/>
      <c r="O261" s="5"/>
      <c r="P261" s="6"/>
      <c r="Q261" s="5"/>
    </row>
    <row r="262" spans="1:17">
      <c r="A262">
        <v>261</v>
      </c>
      <c r="D262" s="2"/>
      <c r="M262" s="10"/>
      <c r="N262" s="3"/>
      <c r="O262" s="5"/>
      <c r="P262" s="6"/>
      <c r="Q262" s="5"/>
    </row>
    <row r="263" spans="1:17">
      <c r="A263">
        <v>262</v>
      </c>
      <c r="D263" s="2"/>
      <c r="M263" s="10"/>
      <c r="N263" s="3"/>
      <c r="O263" s="5"/>
      <c r="P263" s="6"/>
      <c r="Q263" s="5"/>
    </row>
    <row r="264" spans="1:17">
      <c r="A264">
        <v>263</v>
      </c>
      <c r="D264" s="2"/>
      <c r="M264" s="10"/>
      <c r="N264" s="3"/>
      <c r="O264" s="5"/>
      <c r="P264" s="6"/>
      <c r="Q264" s="5"/>
    </row>
    <row r="265" spans="1:17">
      <c r="A265">
        <v>264</v>
      </c>
      <c r="D265" s="2"/>
      <c r="M265" s="10"/>
      <c r="N265" s="3"/>
      <c r="O265" s="5"/>
      <c r="P265" s="6"/>
      <c r="Q265" s="5"/>
    </row>
    <row r="266" spans="1:17">
      <c r="A266">
        <v>265</v>
      </c>
      <c r="D266" s="2"/>
      <c r="M266" s="10"/>
      <c r="N266" s="3"/>
      <c r="O266" s="5"/>
      <c r="P266" s="6"/>
      <c r="Q266" s="5"/>
    </row>
    <row r="267" spans="1:17">
      <c r="A267">
        <v>266</v>
      </c>
      <c r="D267" s="2"/>
      <c r="M267" s="10"/>
      <c r="N267" s="3"/>
      <c r="O267" s="5"/>
      <c r="P267" s="6"/>
      <c r="Q267" s="5"/>
    </row>
    <row r="268" spans="1:17">
      <c r="A268">
        <v>267</v>
      </c>
      <c r="D268" s="2"/>
      <c r="M268" s="10"/>
      <c r="N268" s="3"/>
      <c r="O268" s="5"/>
      <c r="P268" s="6"/>
      <c r="Q268" s="5"/>
    </row>
    <row r="269" spans="1:17">
      <c r="A269">
        <v>268</v>
      </c>
      <c r="D269" s="2"/>
      <c r="M269" s="10"/>
      <c r="N269" s="3"/>
      <c r="O269" s="5"/>
      <c r="P269" s="6"/>
      <c r="Q269" s="5"/>
    </row>
    <row r="270" spans="1:17">
      <c r="A270">
        <v>269</v>
      </c>
      <c r="D270" s="2"/>
      <c r="M270" s="10"/>
      <c r="N270" s="3"/>
      <c r="O270" s="5"/>
      <c r="P270" s="6"/>
      <c r="Q270" s="5"/>
    </row>
    <row r="271" spans="1:17">
      <c r="A271">
        <v>270</v>
      </c>
      <c r="D271" s="2"/>
      <c r="M271" s="10"/>
      <c r="N271" s="3"/>
      <c r="O271" s="5"/>
      <c r="P271" s="6"/>
      <c r="Q271" s="5"/>
    </row>
    <row r="272" spans="1:17">
      <c r="A272">
        <v>271</v>
      </c>
      <c r="D272" s="2"/>
      <c r="M272" s="10"/>
      <c r="N272" s="3"/>
      <c r="O272" s="5"/>
      <c r="P272" s="6"/>
      <c r="Q272" s="5"/>
    </row>
    <row r="273" spans="1:17">
      <c r="A273">
        <v>272</v>
      </c>
      <c r="D273" s="2"/>
      <c r="M273" s="10"/>
      <c r="N273" s="3"/>
      <c r="O273" s="5"/>
      <c r="P273" s="6"/>
      <c r="Q273" s="5"/>
    </row>
    <row r="274" spans="1:17">
      <c r="A274">
        <v>273</v>
      </c>
      <c r="D274" s="2"/>
      <c r="M274" s="10"/>
      <c r="N274" s="3"/>
      <c r="O274" s="5"/>
      <c r="P274" s="6"/>
      <c r="Q274" s="5"/>
    </row>
    <row r="275" spans="1:17">
      <c r="A275">
        <v>274</v>
      </c>
      <c r="D275" s="2"/>
      <c r="M275" s="10"/>
      <c r="N275" s="3"/>
      <c r="O275" s="5"/>
      <c r="P275" s="6"/>
      <c r="Q275" s="5"/>
    </row>
    <row r="276" spans="1:17">
      <c r="A276">
        <v>275</v>
      </c>
      <c r="D276" s="2"/>
      <c r="M276" s="10"/>
      <c r="N276" s="3"/>
      <c r="O276" s="5"/>
      <c r="P276" s="6"/>
      <c r="Q276" s="5"/>
    </row>
    <row r="277" spans="1:17">
      <c r="A277">
        <v>276</v>
      </c>
      <c r="D277" s="2"/>
      <c r="M277" s="10"/>
      <c r="N277" s="3"/>
      <c r="O277" s="5"/>
      <c r="P277" s="6"/>
      <c r="Q277" s="5"/>
    </row>
    <row r="278" spans="1:17">
      <c r="A278">
        <v>277</v>
      </c>
      <c r="D278" s="2"/>
      <c r="M278" s="10"/>
      <c r="N278" s="3"/>
      <c r="O278" s="5"/>
      <c r="P278" s="6"/>
      <c r="Q278" s="5"/>
    </row>
    <row r="279" spans="1:17">
      <c r="A279">
        <v>278</v>
      </c>
      <c r="D279" s="2"/>
      <c r="M279" s="10"/>
      <c r="N279" s="3"/>
      <c r="O279" s="5"/>
      <c r="P279" s="6"/>
      <c r="Q279" s="5"/>
    </row>
    <row r="280" spans="1:17">
      <c r="A280">
        <v>279</v>
      </c>
      <c r="D280" s="2"/>
      <c r="M280" s="10"/>
      <c r="N280" s="3"/>
      <c r="O280" s="5"/>
      <c r="P280" s="6"/>
      <c r="Q280" s="5"/>
    </row>
    <row r="281" spans="1:17">
      <c r="A281">
        <v>280</v>
      </c>
      <c r="D281" s="2"/>
      <c r="M281" s="10"/>
      <c r="N281" s="3"/>
      <c r="O281" s="5"/>
      <c r="P281" s="6"/>
      <c r="Q281" s="5"/>
    </row>
    <row r="282" spans="1:17">
      <c r="A282">
        <v>281</v>
      </c>
      <c r="D282" s="2"/>
      <c r="M282" s="10"/>
      <c r="N282" s="3"/>
      <c r="O282" s="5"/>
      <c r="P282" s="6"/>
      <c r="Q282" s="5"/>
    </row>
    <row r="283" spans="1:17">
      <c r="A283">
        <v>282</v>
      </c>
      <c r="D283" s="2"/>
      <c r="M283" s="10"/>
      <c r="N283" s="3"/>
      <c r="O283" s="5"/>
      <c r="P283" s="6"/>
      <c r="Q283" s="5"/>
    </row>
    <row r="284" spans="1:17">
      <c r="A284">
        <v>283</v>
      </c>
      <c r="D284" s="2"/>
      <c r="M284" s="10"/>
      <c r="N284" s="3"/>
      <c r="O284" s="5"/>
      <c r="P284" s="6"/>
      <c r="Q284" s="5"/>
    </row>
    <row r="285" spans="1:17">
      <c r="A285">
        <v>284</v>
      </c>
      <c r="D285" s="2"/>
      <c r="M285" s="10"/>
      <c r="N285" s="3"/>
      <c r="O285" s="5"/>
      <c r="P285" s="6"/>
      <c r="Q285" s="5"/>
    </row>
    <row r="286" spans="1:17">
      <c r="A286">
        <v>285</v>
      </c>
      <c r="D286" s="2"/>
      <c r="M286" s="10"/>
      <c r="N286" s="3"/>
      <c r="O286" s="5"/>
      <c r="P286" s="6"/>
      <c r="Q286" s="5"/>
    </row>
    <row r="287" spans="1:17">
      <c r="A287">
        <v>286</v>
      </c>
      <c r="D287" s="2"/>
      <c r="M287" s="10"/>
      <c r="N287" s="3"/>
      <c r="O287" s="5"/>
      <c r="P287" s="6"/>
      <c r="Q287" s="5"/>
    </row>
    <row r="288" spans="1:17">
      <c r="A288">
        <v>287</v>
      </c>
      <c r="D288" s="2"/>
      <c r="M288" s="10"/>
      <c r="N288" s="3"/>
      <c r="O288" s="5"/>
      <c r="P288" s="6"/>
      <c r="Q288" s="5"/>
    </row>
    <row r="289" spans="1:17">
      <c r="A289">
        <v>288</v>
      </c>
      <c r="D289" s="2"/>
      <c r="M289" s="10"/>
      <c r="N289" s="3"/>
      <c r="O289" s="5"/>
      <c r="P289" s="6"/>
      <c r="Q289" s="5"/>
    </row>
    <row r="290" spans="1:17">
      <c r="A290">
        <v>289</v>
      </c>
      <c r="D290" s="2"/>
      <c r="M290" s="10"/>
      <c r="N290" s="3"/>
      <c r="O290" s="5"/>
      <c r="P290" s="6"/>
      <c r="Q290" s="5"/>
    </row>
    <row r="291" spans="1:17">
      <c r="A291">
        <v>290</v>
      </c>
      <c r="D291" s="2"/>
      <c r="M291" s="10"/>
      <c r="N291" s="3"/>
      <c r="O291" s="5"/>
      <c r="P291" s="6"/>
      <c r="Q291" s="5"/>
    </row>
    <row r="292" spans="1:17">
      <c r="A292">
        <v>291</v>
      </c>
      <c r="D292" s="2"/>
      <c r="M292" s="10"/>
      <c r="N292" s="3"/>
      <c r="O292" s="5"/>
      <c r="P292" s="6"/>
      <c r="Q292" s="5"/>
    </row>
    <row r="293" spans="1:17">
      <c r="A293">
        <v>292</v>
      </c>
      <c r="D293" s="2"/>
      <c r="M293" s="10"/>
      <c r="N293" s="3"/>
      <c r="O293" s="5"/>
      <c r="P293" s="6"/>
      <c r="Q293" s="5"/>
    </row>
    <row r="294" spans="1:17">
      <c r="A294">
        <v>293</v>
      </c>
      <c r="D294" s="2"/>
      <c r="M294" s="10"/>
      <c r="N294" s="3"/>
      <c r="O294" s="5"/>
      <c r="P294" s="6"/>
      <c r="Q294" s="5"/>
    </row>
    <row r="295" spans="1:17">
      <c r="A295">
        <v>294</v>
      </c>
      <c r="D295" s="2"/>
      <c r="M295" s="10"/>
      <c r="N295" s="3"/>
      <c r="O295" s="5"/>
      <c r="P295" s="6"/>
      <c r="Q295" s="5"/>
    </row>
    <row r="296" spans="1:17">
      <c r="A296">
        <v>295</v>
      </c>
      <c r="D296" s="2"/>
      <c r="M296" s="10"/>
      <c r="N296" s="3"/>
      <c r="O296" s="5"/>
      <c r="P296" s="6"/>
      <c r="Q296" s="5"/>
    </row>
    <row r="297" spans="1:17">
      <c r="A297">
        <v>296</v>
      </c>
      <c r="D297" s="2"/>
      <c r="M297" s="10"/>
      <c r="N297" s="3"/>
      <c r="O297" s="5"/>
      <c r="P297" s="6"/>
      <c r="Q297" s="5"/>
    </row>
    <row r="298" spans="1:17">
      <c r="A298">
        <v>297</v>
      </c>
      <c r="D298" s="2"/>
      <c r="M298" s="10"/>
      <c r="N298" s="3"/>
      <c r="O298" s="5"/>
      <c r="P298" s="6"/>
      <c r="Q298" s="5"/>
    </row>
    <row r="299" spans="1:17">
      <c r="A299">
        <v>298</v>
      </c>
      <c r="D299" s="2"/>
      <c r="M299" s="10"/>
      <c r="N299" s="3"/>
      <c r="O299" s="5"/>
      <c r="P299" s="6"/>
      <c r="Q299" s="5"/>
    </row>
    <row r="300" spans="1:17">
      <c r="A300">
        <v>299</v>
      </c>
      <c r="D300" s="2"/>
      <c r="M300" s="10"/>
      <c r="N300" s="3"/>
      <c r="O300" s="5"/>
      <c r="P300" s="6"/>
      <c r="Q300" s="5"/>
    </row>
    <row r="301" spans="1:17">
      <c r="A301">
        <v>300</v>
      </c>
      <c r="D301" s="2"/>
      <c r="M301" s="10"/>
      <c r="N301" s="3"/>
      <c r="O301" s="5"/>
      <c r="P301" s="6"/>
      <c r="Q301" s="5"/>
    </row>
    <row r="302" spans="1:17">
      <c r="A302">
        <v>301</v>
      </c>
      <c r="D302" s="2"/>
      <c r="M302" s="10"/>
      <c r="N302" s="3"/>
      <c r="O302" s="5"/>
      <c r="P302" s="6"/>
      <c r="Q302" s="5"/>
    </row>
    <row r="303" spans="1:17">
      <c r="A303">
        <v>302</v>
      </c>
      <c r="D303" s="2"/>
      <c r="M303" s="10"/>
      <c r="N303" s="3"/>
      <c r="O303" s="5"/>
      <c r="P303" s="6"/>
      <c r="Q303" s="5"/>
    </row>
    <row r="304" spans="1:17">
      <c r="A304">
        <v>303</v>
      </c>
      <c r="D304" s="2"/>
      <c r="M304" s="10"/>
      <c r="N304" s="3"/>
      <c r="O304" s="5"/>
      <c r="P304" s="6"/>
      <c r="Q304" s="5"/>
    </row>
    <row r="305" spans="1:17">
      <c r="A305">
        <v>304</v>
      </c>
      <c r="D305" s="2"/>
      <c r="M305" s="10"/>
      <c r="N305" s="3"/>
      <c r="O305" s="5"/>
      <c r="P305" s="6"/>
      <c r="Q305" s="5"/>
    </row>
    <row r="306" spans="1:17">
      <c r="A306">
        <v>305</v>
      </c>
      <c r="D306" s="2"/>
      <c r="M306" s="10"/>
      <c r="N306" s="3"/>
      <c r="O306" s="5"/>
      <c r="P306" s="6"/>
      <c r="Q306" s="5"/>
    </row>
    <row r="307" spans="1:17">
      <c r="A307">
        <v>306</v>
      </c>
      <c r="D307" s="2"/>
      <c r="M307" s="10"/>
      <c r="N307" s="3"/>
      <c r="O307" s="5"/>
      <c r="P307" s="6"/>
      <c r="Q307" s="5"/>
    </row>
    <row r="308" spans="1:17">
      <c r="A308">
        <v>307</v>
      </c>
      <c r="D308" s="2"/>
      <c r="M308" s="10"/>
      <c r="N308" s="3"/>
      <c r="O308" s="5"/>
      <c r="P308" s="6"/>
      <c r="Q308" s="5"/>
    </row>
    <row r="309" spans="1:17">
      <c r="A309">
        <v>308</v>
      </c>
      <c r="D309" s="2"/>
      <c r="M309" s="10"/>
      <c r="N309" s="3"/>
      <c r="O309" s="5"/>
      <c r="P309" s="6"/>
      <c r="Q309" s="5"/>
    </row>
    <row r="310" spans="1:17">
      <c r="A310">
        <v>309</v>
      </c>
      <c r="D310" s="2"/>
      <c r="M310" s="10"/>
      <c r="N310" s="3"/>
      <c r="O310" s="5"/>
      <c r="P310" s="6"/>
      <c r="Q310" s="5"/>
    </row>
    <row r="311" spans="1:17">
      <c r="A311">
        <v>310</v>
      </c>
      <c r="D311" s="2"/>
      <c r="M311" s="10"/>
      <c r="N311" s="3"/>
      <c r="O311" s="5"/>
      <c r="P311" s="6"/>
      <c r="Q311" s="5"/>
    </row>
    <row r="312" spans="1:17">
      <c r="A312">
        <v>311</v>
      </c>
      <c r="D312" s="2"/>
      <c r="M312" s="10"/>
      <c r="N312" s="3"/>
      <c r="O312" s="5"/>
      <c r="P312" s="6"/>
      <c r="Q312" s="5"/>
    </row>
    <row r="313" spans="1:17">
      <c r="A313">
        <v>312</v>
      </c>
      <c r="D313" s="2"/>
      <c r="M313" s="10"/>
      <c r="N313" s="3"/>
      <c r="O313" s="5"/>
      <c r="P313" s="6"/>
      <c r="Q313" s="5"/>
    </row>
    <row r="314" spans="1:17">
      <c r="A314">
        <v>313</v>
      </c>
      <c r="D314" s="2"/>
      <c r="M314" s="10"/>
      <c r="N314" s="3"/>
      <c r="O314" s="5"/>
      <c r="P314" s="6"/>
      <c r="Q314" s="5"/>
    </row>
    <row r="315" spans="1:17">
      <c r="A315">
        <v>314</v>
      </c>
      <c r="D315" s="2"/>
      <c r="M315" s="10"/>
      <c r="N315" s="3"/>
      <c r="O315" s="5"/>
      <c r="P315" s="6"/>
      <c r="Q315" s="5"/>
    </row>
    <row r="316" spans="1:17">
      <c r="A316">
        <v>315</v>
      </c>
      <c r="D316" s="2"/>
      <c r="M316" s="10"/>
      <c r="N316" s="3"/>
      <c r="O316" s="5"/>
      <c r="P316" s="6"/>
      <c r="Q316" s="5"/>
    </row>
    <row r="317" spans="1:17">
      <c r="A317">
        <v>316</v>
      </c>
      <c r="D317" s="2"/>
      <c r="M317" s="10"/>
      <c r="N317" s="3"/>
      <c r="O317" s="5"/>
      <c r="P317" s="6"/>
      <c r="Q317" s="5"/>
    </row>
    <row r="318" spans="1:17">
      <c r="A318">
        <v>317</v>
      </c>
      <c r="D318" s="2"/>
      <c r="M318" s="10"/>
      <c r="N318" s="3"/>
      <c r="O318" s="5"/>
      <c r="P318" s="6"/>
      <c r="Q318" s="5"/>
    </row>
    <row r="319" spans="1:17">
      <c r="A319">
        <v>318</v>
      </c>
      <c r="D319" s="2"/>
      <c r="M319" s="10"/>
      <c r="N319" s="3"/>
      <c r="O319" s="5"/>
      <c r="P319" s="6"/>
      <c r="Q319" s="5"/>
    </row>
    <row r="320" spans="1:17">
      <c r="A320">
        <v>319</v>
      </c>
      <c r="D320" s="2"/>
      <c r="M320" s="10"/>
      <c r="N320" s="3"/>
      <c r="O320" s="5"/>
      <c r="P320" s="6"/>
      <c r="Q320" s="5"/>
    </row>
    <row r="321" spans="1:17">
      <c r="A321">
        <v>320</v>
      </c>
      <c r="D321" s="2"/>
      <c r="M321" s="10"/>
      <c r="N321" s="3"/>
      <c r="O321" s="5"/>
      <c r="P321" s="6"/>
      <c r="Q321" s="5"/>
    </row>
    <row r="322" spans="1:17">
      <c r="A322">
        <v>321</v>
      </c>
      <c r="D322" s="2"/>
      <c r="M322" s="10"/>
      <c r="N322" s="3"/>
      <c r="O322" s="5"/>
      <c r="P322" s="6"/>
      <c r="Q322" s="5"/>
    </row>
    <row r="323" spans="1:17">
      <c r="D323" s="2"/>
      <c r="M323" s="10"/>
      <c r="N323" s="3"/>
      <c r="O323" s="5"/>
      <c r="P323" s="6"/>
      <c r="Q323" s="5"/>
    </row>
    <row r="324" spans="1:17">
      <c r="D324" s="2"/>
      <c r="M324" s="10"/>
      <c r="N324" s="3"/>
      <c r="O324" s="5"/>
      <c r="P324" s="6"/>
      <c r="Q324" s="5"/>
    </row>
    <row r="325" spans="1:17">
      <c r="D325" s="2"/>
      <c r="M325" s="10"/>
      <c r="N325" s="3"/>
      <c r="O325" s="5"/>
      <c r="P325" s="6"/>
      <c r="Q325" s="5"/>
    </row>
    <row r="326" spans="1:17">
      <c r="D326" s="2"/>
      <c r="M326" s="10"/>
      <c r="N326" s="3"/>
      <c r="O326" s="5"/>
      <c r="P326" s="6"/>
      <c r="Q326" s="5"/>
    </row>
    <row r="327" spans="1:17">
      <c r="D327" s="2"/>
      <c r="M327" s="10"/>
      <c r="N327" s="3"/>
      <c r="O327" s="5"/>
      <c r="P327" s="6"/>
      <c r="Q327" s="5"/>
    </row>
    <row r="328" spans="1:17">
      <c r="D328" s="2"/>
      <c r="M328" s="10"/>
      <c r="N328" s="3"/>
      <c r="O328" s="5"/>
      <c r="P328" s="6"/>
      <c r="Q328" s="5"/>
    </row>
    <row r="329" spans="1:17">
      <c r="D329" s="2"/>
      <c r="M329" s="10"/>
      <c r="N329" s="3"/>
      <c r="O329" s="5"/>
      <c r="P329" s="6"/>
      <c r="Q329" s="5"/>
    </row>
    <row r="330" spans="1:17">
      <c r="D330" s="2"/>
      <c r="M330" s="10"/>
      <c r="N330" s="3"/>
      <c r="O330" s="5"/>
      <c r="P330" s="6"/>
      <c r="Q330" s="5"/>
    </row>
    <row r="331" spans="1:17">
      <c r="D331" s="2"/>
      <c r="M331" s="10"/>
      <c r="N331" s="3"/>
      <c r="O331" s="5"/>
      <c r="P331" s="6"/>
      <c r="Q331" s="5"/>
    </row>
    <row r="332" spans="1:17">
      <c r="D332" s="2"/>
      <c r="M332" s="10"/>
      <c r="N332" s="3"/>
      <c r="O332" s="5"/>
      <c r="P332" s="6"/>
      <c r="Q332" s="5"/>
    </row>
    <row r="333" spans="1:17">
      <c r="D333" s="2"/>
      <c r="M333" s="10"/>
      <c r="N333" s="3"/>
      <c r="O333" s="5"/>
      <c r="P333" s="6"/>
      <c r="Q333" s="5"/>
    </row>
    <row r="334" spans="1:17">
      <c r="D334" s="2"/>
      <c r="M334" s="10"/>
      <c r="N334" s="3"/>
      <c r="O334" s="5"/>
      <c r="P334" s="6"/>
      <c r="Q334" s="5"/>
    </row>
    <row r="335" spans="1:17">
      <c r="D335" s="2"/>
      <c r="M335" s="10"/>
      <c r="N335" s="3"/>
      <c r="O335" s="5"/>
      <c r="P335" s="6"/>
      <c r="Q335" s="5"/>
    </row>
    <row r="336" spans="1:17">
      <c r="D336" s="2"/>
      <c r="M336" s="10"/>
      <c r="N336" s="3"/>
      <c r="O336" s="5"/>
      <c r="P336" s="6"/>
      <c r="Q336" s="5"/>
    </row>
    <row r="337" spans="4:17">
      <c r="D337" s="2"/>
      <c r="M337" s="10"/>
      <c r="N337" s="3"/>
      <c r="O337" s="5"/>
      <c r="P337" s="6"/>
      <c r="Q337" s="5"/>
    </row>
    <row r="338" spans="4:17">
      <c r="D338" s="2"/>
      <c r="M338" s="10"/>
      <c r="N338" s="3"/>
      <c r="O338" s="5"/>
      <c r="P338" s="6"/>
      <c r="Q338" s="5"/>
    </row>
    <row r="339" spans="4:17">
      <c r="D339" s="2"/>
      <c r="M339" s="10"/>
      <c r="N339" s="3"/>
      <c r="O339" s="5"/>
      <c r="P339" s="6"/>
      <c r="Q339" s="5"/>
    </row>
    <row r="340" spans="4:17">
      <c r="D340" s="2"/>
      <c r="M340" s="10"/>
      <c r="N340" s="3"/>
      <c r="O340" s="5"/>
      <c r="P340" s="6"/>
      <c r="Q340" s="5"/>
    </row>
    <row r="341" spans="4:17">
      <c r="D341" s="2"/>
      <c r="M341" s="10"/>
      <c r="N341" s="3"/>
      <c r="O341" s="5"/>
      <c r="P341" s="6"/>
      <c r="Q341" s="5"/>
    </row>
    <row r="342" spans="4:17">
      <c r="D342" s="2"/>
      <c r="M342" s="10"/>
      <c r="N342" s="3"/>
      <c r="O342" s="5"/>
      <c r="P342" s="6"/>
      <c r="Q342" s="5"/>
    </row>
    <row r="343" spans="4:17">
      <c r="D343" s="2"/>
      <c r="M343" s="10"/>
      <c r="N343" s="3"/>
      <c r="O343" s="5"/>
      <c r="P343" s="6"/>
      <c r="Q343" s="5"/>
    </row>
    <row r="344" spans="4:17">
      <c r="D344" s="2"/>
      <c r="M344" s="10"/>
      <c r="N344" s="3"/>
      <c r="O344" s="5"/>
      <c r="P344" s="6"/>
      <c r="Q344" s="5"/>
    </row>
    <row r="345" spans="4:17">
      <c r="D345" s="2"/>
      <c r="M345" s="10"/>
      <c r="N345" s="3"/>
      <c r="O345" s="5"/>
      <c r="P345" s="6"/>
      <c r="Q345" s="5"/>
    </row>
    <row r="346" spans="4:17">
      <c r="D346" s="2"/>
      <c r="M346" s="10"/>
      <c r="N346" s="3"/>
      <c r="O346" s="5"/>
      <c r="P346" s="6"/>
      <c r="Q346" s="5"/>
    </row>
    <row r="347" spans="4:17">
      <c r="D347" s="2"/>
      <c r="M347" s="10"/>
      <c r="N347" s="3"/>
      <c r="O347" s="5"/>
      <c r="P347" s="6"/>
      <c r="Q347" s="5"/>
    </row>
    <row r="348" spans="4:17">
      <c r="D348" s="2"/>
      <c r="M348" s="10"/>
      <c r="N348" s="3"/>
      <c r="O348" s="5"/>
      <c r="P348" s="6"/>
      <c r="Q348" s="5"/>
    </row>
    <row r="349" spans="4:17">
      <c r="D349" s="2"/>
      <c r="M349" s="10"/>
      <c r="N349" s="3"/>
      <c r="O349" s="5"/>
      <c r="P349" s="6"/>
      <c r="Q349" s="5"/>
    </row>
    <row r="350" spans="4:17">
      <c r="D350" s="2"/>
      <c r="M350" s="10"/>
      <c r="N350" s="3"/>
      <c r="O350" s="5"/>
      <c r="P350" s="6"/>
      <c r="Q350" s="5"/>
    </row>
    <row r="351" spans="4:17">
      <c r="D351" s="2"/>
      <c r="M351" s="10"/>
      <c r="N351" s="3"/>
      <c r="O351" s="5"/>
      <c r="P351" s="6"/>
      <c r="Q351" s="5"/>
    </row>
    <row r="352" spans="4:17">
      <c r="D352" s="2"/>
      <c r="M352" s="10"/>
      <c r="N352" s="3"/>
      <c r="O352" s="5"/>
      <c r="P352" s="6"/>
      <c r="Q352" s="5"/>
    </row>
    <row r="353" spans="4:17">
      <c r="D353" s="2"/>
      <c r="M353" s="10"/>
      <c r="N353" s="3"/>
      <c r="O353" s="5"/>
      <c r="P353" s="6"/>
      <c r="Q353" s="5"/>
    </row>
    <row r="354" spans="4:17">
      <c r="D354" s="2"/>
      <c r="M354" s="10"/>
      <c r="N354" s="3"/>
      <c r="O354" s="5"/>
      <c r="P354" s="6"/>
      <c r="Q354" s="5"/>
    </row>
    <row r="355" spans="4:17">
      <c r="D355" s="2"/>
      <c r="M355" s="10"/>
      <c r="N355" s="3"/>
      <c r="O355" s="5"/>
      <c r="P355" s="6"/>
      <c r="Q355" s="5"/>
    </row>
    <row r="356" spans="4:17">
      <c r="D356" s="2"/>
      <c r="M356" s="10"/>
      <c r="N356" s="3"/>
      <c r="O356" s="5"/>
      <c r="P356" s="6"/>
      <c r="Q356" s="5"/>
    </row>
    <row r="357" spans="4:17">
      <c r="D357" s="2"/>
      <c r="M357" s="10"/>
      <c r="N357" s="3"/>
      <c r="O357" s="5"/>
      <c r="P357" s="6"/>
      <c r="Q357" s="5"/>
    </row>
    <row r="358" spans="4:17">
      <c r="D358" s="2"/>
      <c r="M358" s="10"/>
      <c r="N358" s="3"/>
      <c r="O358" s="5"/>
      <c r="P358" s="6"/>
      <c r="Q358" s="5"/>
    </row>
    <row r="359" spans="4:17">
      <c r="D359" s="2"/>
      <c r="M359" s="10"/>
      <c r="N359" s="3"/>
      <c r="O359" s="5"/>
      <c r="P359" s="6"/>
      <c r="Q359" s="5"/>
    </row>
    <row r="360" spans="4:17">
      <c r="D360" s="2"/>
      <c r="M360" s="10"/>
      <c r="N360" s="3"/>
      <c r="O360" s="5"/>
      <c r="P360" s="6"/>
      <c r="Q360" s="5"/>
    </row>
    <row r="361" spans="4:17">
      <c r="D361" s="2"/>
      <c r="M361" s="10"/>
      <c r="N361" s="3"/>
      <c r="O361" s="5"/>
      <c r="P361" s="6"/>
      <c r="Q361" s="5"/>
    </row>
    <row r="362" spans="4:17">
      <c r="D362" s="2"/>
      <c r="M362" s="10"/>
      <c r="N362" s="3"/>
      <c r="O362" s="5"/>
      <c r="P362" s="6"/>
      <c r="Q362" s="5"/>
    </row>
    <row r="363" spans="4:17">
      <c r="D363" s="2"/>
      <c r="M363" s="10"/>
      <c r="N363" s="3"/>
      <c r="O363" s="5"/>
      <c r="P363" s="6"/>
      <c r="Q363" s="5"/>
    </row>
    <row r="364" spans="4:17">
      <c r="D364" s="2"/>
      <c r="M364" s="10"/>
      <c r="N364" s="3"/>
      <c r="O364" s="5"/>
      <c r="P364" s="6"/>
      <c r="Q364" s="5"/>
    </row>
    <row r="365" spans="4:17">
      <c r="D365" s="2"/>
      <c r="M365" s="10"/>
      <c r="N365" s="3"/>
      <c r="O365" s="5"/>
      <c r="P365" s="6"/>
      <c r="Q365" s="5"/>
    </row>
    <row r="366" spans="4:17">
      <c r="D366" s="2"/>
      <c r="M366" s="10"/>
      <c r="N366" s="3"/>
      <c r="O366" s="5"/>
      <c r="P366" s="6"/>
      <c r="Q366" s="5"/>
    </row>
    <row r="367" spans="4:17">
      <c r="D367" s="2"/>
      <c r="M367" s="10"/>
      <c r="N367" s="3"/>
      <c r="O367" s="5"/>
      <c r="P367" s="6"/>
      <c r="Q367" s="5"/>
    </row>
    <row r="368" spans="4:17">
      <c r="D368" s="2"/>
      <c r="M368" s="10"/>
      <c r="N368" s="3"/>
      <c r="O368" s="5"/>
      <c r="P368" s="6"/>
      <c r="Q368" s="5"/>
    </row>
    <row r="369" spans="4:17">
      <c r="D369" s="2"/>
      <c r="M369" s="10"/>
      <c r="N369" s="3"/>
      <c r="O369" s="5"/>
      <c r="P369" s="6"/>
      <c r="Q369" s="5"/>
    </row>
    <row r="370" spans="4:17">
      <c r="D370" s="2"/>
      <c r="M370" s="10"/>
      <c r="N370" s="3"/>
      <c r="O370" s="5"/>
      <c r="P370" s="6"/>
      <c r="Q370" s="5"/>
    </row>
    <row r="371" spans="4:17">
      <c r="D371" s="2"/>
      <c r="M371" s="10"/>
      <c r="N371" s="3"/>
      <c r="O371" s="5"/>
      <c r="P371" s="6"/>
      <c r="Q371" s="5"/>
    </row>
    <row r="372" spans="4:17">
      <c r="D372" s="2"/>
      <c r="M372" s="10"/>
      <c r="N372" s="3"/>
      <c r="O372" s="5"/>
      <c r="P372" s="6"/>
      <c r="Q372" s="5"/>
    </row>
    <row r="373" spans="4:17">
      <c r="D373" s="2"/>
      <c r="M373" s="10"/>
      <c r="N373" s="3"/>
      <c r="O373" s="5"/>
      <c r="P373" s="6"/>
      <c r="Q373" s="5"/>
    </row>
    <row r="374" spans="4:17">
      <c r="D374" s="2"/>
      <c r="M374" s="10"/>
      <c r="N374" s="3"/>
      <c r="O374" s="5"/>
      <c r="P374" s="6"/>
      <c r="Q374" s="5"/>
    </row>
    <row r="375" spans="4:17">
      <c r="D375" s="2"/>
      <c r="M375" s="10"/>
      <c r="N375" s="3"/>
      <c r="O375" s="5"/>
      <c r="P375" s="6"/>
      <c r="Q375" s="5"/>
    </row>
    <row r="376" spans="4:17">
      <c r="D376" s="2"/>
      <c r="M376" s="10"/>
      <c r="N376" s="3"/>
      <c r="O376" s="5"/>
      <c r="P376" s="6"/>
      <c r="Q376" s="5"/>
    </row>
    <row r="377" spans="4:17">
      <c r="D377" s="2"/>
      <c r="M377" s="10"/>
      <c r="N377" s="3"/>
      <c r="O377" s="5"/>
      <c r="P377" s="6"/>
      <c r="Q377" s="5"/>
    </row>
    <row r="378" spans="4:17">
      <c r="D378" s="2"/>
      <c r="M378" s="10"/>
      <c r="N378" s="3"/>
      <c r="O378" s="5"/>
      <c r="P378" s="6"/>
      <c r="Q378" s="5"/>
    </row>
    <row r="379" spans="4:17">
      <c r="D379" s="2"/>
      <c r="M379" s="10"/>
      <c r="N379" s="3"/>
      <c r="O379" s="5"/>
      <c r="P379" s="6"/>
      <c r="Q379" s="5"/>
    </row>
    <row r="380" spans="4:17">
      <c r="D380" s="2"/>
      <c r="M380" s="10"/>
      <c r="N380" s="3"/>
      <c r="O380" s="5"/>
      <c r="P380" s="6"/>
      <c r="Q380" s="5"/>
    </row>
    <row r="381" spans="4:17">
      <c r="D381" s="2"/>
      <c r="M381" s="10"/>
      <c r="N381" s="3"/>
      <c r="O381" s="5"/>
      <c r="P381" s="6"/>
      <c r="Q381" s="5"/>
    </row>
    <row r="382" spans="4:17">
      <c r="D382" s="2"/>
      <c r="M382" s="10"/>
      <c r="N382" s="3"/>
      <c r="O382" s="5"/>
      <c r="P382" s="6"/>
      <c r="Q382" s="5"/>
    </row>
    <row r="383" spans="4:17">
      <c r="D383" s="2"/>
      <c r="M383" s="10"/>
      <c r="N383" s="3"/>
      <c r="O383" s="5"/>
      <c r="P383" s="6"/>
      <c r="Q383" s="5"/>
    </row>
    <row r="384" spans="4:17">
      <c r="D384" s="2"/>
      <c r="M384" s="10"/>
      <c r="N384" s="3"/>
      <c r="O384" s="5"/>
      <c r="P384" s="6"/>
      <c r="Q384" s="5"/>
    </row>
    <row r="385" spans="4:17">
      <c r="D385" s="2"/>
      <c r="M385" s="10"/>
      <c r="N385" s="3"/>
      <c r="O385" s="5"/>
      <c r="P385" s="6"/>
      <c r="Q385" s="5"/>
    </row>
    <row r="386" spans="4:17">
      <c r="D386" s="2"/>
      <c r="M386" s="10"/>
      <c r="N386" s="3"/>
      <c r="O386" s="5"/>
      <c r="P386" s="6"/>
      <c r="Q386" s="5"/>
    </row>
    <row r="387" spans="4:17">
      <c r="D387" s="2"/>
      <c r="M387" s="10"/>
      <c r="N387" s="3"/>
      <c r="O387" s="5"/>
      <c r="P387" s="6"/>
      <c r="Q387" s="5"/>
    </row>
    <row r="388" spans="4:17">
      <c r="D388" s="2"/>
      <c r="M388" s="10"/>
      <c r="N388" s="3"/>
      <c r="O388" s="5"/>
      <c r="P388" s="6"/>
      <c r="Q388" s="5"/>
    </row>
    <row r="389" spans="4:17">
      <c r="D389" s="2"/>
      <c r="M389" s="10"/>
      <c r="N389" s="3"/>
      <c r="O389" s="5"/>
      <c r="P389" s="6"/>
      <c r="Q389" s="5"/>
    </row>
    <row r="390" spans="4:17">
      <c r="D390" s="2"/>
      <c r="M390" s="10"/>
      <c r="N390" s="3"/>
      <c r="O390" s="5"/>
      <c r="P390" s="6"/>
      <c r="Q390" s="5"/>
    </row>
    <row r="391" spans="4:17">
      <c r="D391" s="2"/>
      <c r="M391" s="10"/>
      <c r="N391" s="3"/>
      <c r="O391" s="5"/>
      <c r="P391" s="6"/>
      <c r="Q391" s="5"/>
    </row>
    <row r="392" spans="4:17">
      <c r="D392" s="2"/>
      <c r="M392" s="10"/>
      <c r="N392" s="3"/>
      <c r="O392" s="5"/>
      <c r="P392" s="6"/>
      <c r="Q392" s="5"/>
    </row>
    <row r="393" spans="4:17">
      <c r="D393" s="2"/>
      <c r="M393" s="10"/>
      <c r="N393" s="3"/>
      <c r="O393" s="5"/>
      <c r="P393" s="6"/>
      <c r="Q393" s="5"/>
    </row>
    <row r="394" spans="4:17">
      <c r="D394" s="2"/>
      <c r="M394" s="10"/>
      <c r="N394" s="3"/>
      <c r="O394" s="5"/>
      <c r="P394" s="6"/>
      <c r="Q394" s="5"/>
    </row>
    <row r="395" spans="4:17">
      <c r="D395" s="2"/>
      <c r="M395" s="10"/>
      <c r="N395" s="3"/>
      <c r="O395" s="5"/>
      <c r="P395" s="6"/>
      <c r="Q395" s="5"/>
    </row>
    <row r="396" spans="4:17">
      <c r="D396" s="2"/>
      <c r="M396" s="10"/>
      <c r="N396" s="3"/>
      <c r="O396" s="5"/>
      <c r="P396" s="6"/>
      <c r="Q396" s="5"/>
    </row>
    <row r="397" spans="4:17">
      <c r="D397" s="2"/>
      <c r="M397" s="10"/>
      <c r="N397" s="3"/>
      <c r="O397" s="5"/>
      <c r="P397" s="6"/>
      <c r="Q397" s="5"/>
    </row>
    <row r="398" spans="4:17">
      <c r="D398" s="2"/>
      <c r="M398" s="10"/>
      <c r="N398" s="3"/>
      <c r="O398" s="5"/>
      <c r="P398" s="6"/>
      <c r="Q398" s="5"/>
    </row>
    <row r="399" spans="4:17">
      <c r="D399" s="2"/>
      <c r="M399" s="10"/>
      <c r="N399" s="3"/>
      <c r="O399" s="5"/>
      <c r="P399" s="6"/>
      <c r="Q399" s="5"/>
    </row>
    <row r="400" spans="4:17">
      <c r="D400" s="2"/>
      <c r="M400" s="10"/>
      <c r="N400" s="3"/>
      <c r="O400" s="5"/>
      <c r="P400" s="6"/>
      <c r="Q400" s="5"/>
    </row>
    <row r="401" spans="4:17">
      <c r="D401" s="2"/>
      <c r="M401" s="10"/>
      <c r="N401" s="3"/>
      <c r="O401" s="5"/>
      <c r="P401" s="6"/>
      <c r="Q401" s="5"/>
    </row>
    <row r="402" spans="4:17">
      <c r="D402" s="2"/>
      <c r="M402" s="10"/>
      <c r="N402" s="3"/>
      <c r="O402" s="5"/>
      <c r="P402" s="6"/>
      <c r="Q402" s="5"/>
    </row>
    <row r="403" spans="4:17">
      <c r="D403" s="2"/>
      <c r="M403" s="10"/>
      <c r="N403" s="3"/>
      <c r="O403" s="5"/>
      <c r="P403" s="6"/>
      <c r="Q403" s="5"/>
    </row>
    <row r="404" spans="4:17">
      <c r="D404" s="2"/>
      <c r="M404" s="10"/>
      <c r="N404" s="3"/>
      <c r="O404" s="5"/>
      <c r="P404" s="6"/>
      <c r="Q404" s="5"/>
    </row>
    <row r="405" spans="4:17">
      <c r="D405" s="2"/>
      <c r="M405" s="10"/>
      <c r="N405" s="3"/>
      <c r="O405" s="5"/>
      <c r="P405" s="6"/>
      <c r="Q405" s="5"/>
    </row>
    <row r="406" spans="4:17">
      <c r="D406" s="2"/>
      <c r="M406" s="10"/>
      <c r="N406" s="3"/>
      <c r="O406" s="5"/>
      <c r="P406" s="6"/>
      <c r="Q406" s="5"/>
    </row>
    <row r="407" spans="4:17">
      <c r="D407" s="2"/>
      <c r="M407" s="10"/>
      <c r="N407" s="3"/>
      <c r="O407" s="5"/>
      <c r="P407" s="6"/>
      <c r="Q407" s="5"/>
    </row>
    <row r="408" spans="4:17">
      <c r="D408" s="2"/>
      <c r="M408" s="10"/>
      <c r="N408" s="3"/>
      <c r="O408" s="5"/>
      <c r="P408" s="6"/>
      <c r="Q408" s="5"/>
    </row>
    <row r="409" spans="4:17">
      <c r="D409" s="2"/>
      <c r="M409" s="10"/>
      <c r="N409" s="3"/>
      <c r="O409" s="5"/>
      <c r="P409" s="6"/>
      <c r="Q409" s="5"/>
    </row>
    <row r="410" spans="4:17">
      <c r="D410" s="2"/>
      <c r="M410" s="10"/>
      <c r="N410" s="3"/>
      <c r="O410" s="5"/>
      <c r="P410" s="6"/>
      <c r="Q410" s="5"/>
    </row>
    <row r="411" spans="4:17">
      <c r="D411" s="2"/>
      <c r="M411" s="10"/>
      <c r="N411" s="3"/>
      <c r="O411" s="5"/>
      <c r="P411" s="6"/>
      <c r="Q411" s="5"/>
    </row>
    <row r="412" spans="4:17">
      <c r="D412" s="2"/>
      <c r="M412" s="10"/>
      <c r="N412" s="3"/>
      <c r="O412" s="5"/>
      <c r="P412" s="6"/>
      <c r="Q412" s="5"/>
    </row>
    <row r="413" spans="4:17">
      <c r="D413" s="2"/>
      <c r="M413" s="10"/>
      <c r="N413" s="3"/>
      <c r="O413" s="5"/>
      <c r="P413" s="6"/>
      <c r="Q413" s="5"/>
    </row>
    <row r="414" spans="4:17">
      <c r="D414" s="2"/>
      <c r="M414" s="10"/>
      <c r="N414" s="3"/>
      <c r="O414" s="5"/>
      <c r="P414" s="6"/>
      <c r="Q414" s="5"/>
    </row>
    <row r="415" spans="4:17">
      <c r="D415" s="2"/>
      <c r="M415" s="10"/>
      <c r="N415" s="3"/>
      <c r="O415" s="5"/>
      <c r="P415" s="6"/>
      <c r="Q415" s="5"/>
    </row>
    <row r="416" spans="4:17">
      <c r="D416" s="2"/>
      <c r="M416" s="10"/>
      <c r="N416" s="3"/>
      <c r="O416" s="5"/>
      <c r="P416" s="6"/>
      <c r="Q416" s="5"/>
    </row>
    <row r="417" spans="4:17">
      <c r="D417" s="2"/>
      <c r="M417" s="10"/>
      <c r="N417" s="3"/>
      <c r="O417" s="5"/>
      <c r="P417" s="6"/>
      <c r="Q417" s="5"/>
    </row>
    <row r="418" spans="4:17">
      <c r="D418" s="2"/>
      <c r="M418" s="10"/>
      <c r="N418" s="3"/>
      <c r="O418" s="5"/>
      <c r="P418" s="6"/>
      <c r="Q418" s="5"/>
    </row>
    <row r="419" spans="4:17">
      <c r="D419" s="2"/>
      <c r="M419" s="10"/>
      <c r="N419" s="3"/>
      <c r="O419" s="5"/>
      <c r="P419" s="6"/>
      <c r="Q419" s="5"/>
    </row>
    <row r="420" spans="4:17">
      <c r="D420" s="2"/>
      <c r="M420" s="10"/>
      <c r="N420" s="3"/>
      <c r="O420" s="5"/>
      <c r="P420" s="6"/>
      <c r="Q420" s="5"/>
    </row>
    <row r="421" spans="4:17">
      <c r="D421" s="2"/>
      <c r="M421" s="10"/>
      <c r="N421" s="3"/>
      <c r="O421" s="5"/>
      <c r="P421" s="6"/>
      <c r="Q421" s="5"/>
    </row>
    <row r="422" spans="4:17">
      <c r="D422" s="2"/>
      <c r="M422" s="10"/>
      <c r="N422" s="3"/>
      <c r="O422" s="5"/>
      <c r="P422" s="6"/>
      <c r="Q422" s="5"/>
    </row>
    <row r="423" spans="4:17">
      <c r="D423" s="2"/>
      <c r="M423" s="10"/>
      <c r="N423" s="3"/>
      <c r="O423" s="5"/>
      <c r="P423" s="6"/>
      <c r="Q423" s="5"/>
    </row>
    <row r="424" spans="4:17">
      <c r="D424" s="2"/>
      <c r="M424" s="10"/>
      <c r="N424" s="3"/>
      <c r="O424" s="5"/>
      <c r="P424" s="6"/>
      <c r="Q424" s="5"/>
    </row>
    <row r="425" spans="4:17">
      <c r="D425" s="2"/>
      <c r="M425" s="10"/>
      <c r="N425" s="3"/>
      <c r="O425" s="5"/>
      <c r="P425" s="6"/>
      <c r="Q425" s="5"/>
    </row>
    <row r="426" spans="4:17">
      <c r="D426" s="2"/>
      <c r="M426" s="10"/>
      <c r="N426" s="3"/>
      <c r="O426" s="5"/>
      <c r="P426" s="6"/>
      <c r="Q426" s="5"/>
    </row>
    <row r="427" spans="4:17">
      <c r="D427" s="2"/>
      <c r="M427" s="10"/>
      <c r="N427" s="3"/>
      <c r="O427" s="5"/>
      <c r="P427" s="6"/>
      <c r="Q427" s="5"/>
    </row>
    <row r="428" spans="4:17">
      <c r="D428" s="2"/>
      <c r="M428" s="10"/>
      <c r="N428" s="3"/>
      <c r="O428" s="5"/>
      <c r="P428" s="6"/>
      <c r="Q428" s="5"/>
    </row>
    <row r="429" spans="4:17">
      <c r="D429" s="2"/>
      <c r="M429" s="10"/>
      <c r="N429" s="3"/>
      <c r="O429" s="5"/>
      <c r="P429" s="6"/>
      <c r="Q429" s="5"/>
    </row>
    <row r="430" spans="4:17">
      <c r="D430" s="2"/>
      <c r="M430" s="10"/>
      <c r="N430" s="3"/>
      <c r="O430" s="5"/>
      <c r="P430" s="6"/>
      <c r="Q430" s="5"/>
    </row>
    <row r="431" spans="4:17">
      <c r="D431" s="2"/>
      <c r="M431" s="10"/>
      <c r="N431" s="3"/>
      <c r="O431" s="5"/>
      <c r="P431" s="6"/>
      <c r="Q431" s="5"/>
    </row>
    <row r="432" spans="4:17">
      <c r="D432" s="2"/>
      <c r="M432" s="10"/>
      <c r="N432" s="3"/>
      <c r="O432" s="5"/>
      <c r="P432" s="6"/>
      <c r="Q432" s="5"/>
    </row>
    <row r="433" spans="4:17">
      <c r="D433" s="2"/>
      <c r="M433" s="10"/>
      <c r="N433" s="3"/>
      <c r="O433" s="5"/>
      <c r="P433" s="6"/>
      <c r="Q433" s="5"/>
    </row>
    <row r="434" spans="4:17">
      <c r="D434" s="2"/>
      <c r="M434" s="10"/>
      <c r="N434" s="3"/>
      <c r="O434" s="5"/>
      <c r="P434" s="6"/>
      <c r="Q434" s="5"/>
    </row>
    <row r="435" spans="4:17">
      <c r="D435" s="2"/>
      <c r="M435" s="10"/>
      <c r="N435" s="3"/>
      <c r="O435" s="5"/>
      <c r="P435" s="6"/>
      <c r="Q435" s="5"/>
    </row>
    <row r="436" spans="4:17">
      <c r="D436" s="2"/>
      <c r="M436" s="10"/>
      <c r="N436" s="3"/>
      <c r="O436" s="5"/>
      <c r="P436" s="6"/>
      <c r="Q436" s="5"/>
    </row>
    <row r="437" spans="4:17">
      <c r="D437" s="2"/>
      <c r="M437" s="10"/>
      <c r="N437" s="3"/>
      <c r="O437" s="5"/>
      <c r="P437" s="6"/>
      <c r="Q437" s="5"/>
    </row>
    <row r="438" spans="4:17">
      <c r="D438" s="2"/>
      <c r="M438" s="10"/>
      <c r="N438" s="3"/>
      <c r="O438" s="5"/>
      <c r="P438" s="6"/>
      <c r="Q438" s="5"/>
    </row>
    <row r="439" spans="4:17">
      <c r="D439" s="2"/>
      <c r="M439" s="10"/>
      <c r="N439" s="3"/>
      <c r="O439" s="5"/>
      <c r="P439" s="6"/>
      <c r="Q439" s="5"/>
    </row>
    <row r="440" spans="4:17">
      <c r="D440" s="2"/>
      <c r="M440" s="10"/>
      <c r="N440" s="3"/>
      <c r="O440" s="5"/>
      <c r="P440" s="6"/>
      <c r="Q440" s="5"/>
    </row>
    <row r="441" spans="4:17">
      <c r="D441" s="2"/>
      <c r="M441" s="10"/>
      <c r="N441" s="3"/>
      <c r="O441" s="5"/>
      <c r="P441" s="6"/>
      <c r="Q441" s="5"/>
    </row>
    <row r="442" spans="4:17">
      <c r="D442" s="2"/>
      <c r="M442" s="10"/>
      <c r="N442" s="3"/>
      <c r="O442" s="5"/>
      <c r="P442" s="6"/>
      <c r="Q442" s="5"/>
    </row>
    <row r="443" spans="4:17">
      <c r="D443" s="2"/>
      <c r="M443" s="10"/>
      <c r="N443" s="3"/>
      <c r="O443" s="5"/>
      <c r="P443" s="6"/>
      <c r="Q443" s="5"/>
    </row>
    <row r="444" spans="4:17">
      <c r="D444" s="2"/>
      <c r="M444" s="10"/>
      <c r="N444" s="3"/>
      <c r="O444" s="5"/>
      <c r="P444" s="6"/>
      <c r="Q444" s="5"/>
    </row>
    <row r="445" spans="4:17">
      <c r="D445" s="2"/>
      <c r="M445" s="10"/>
      <c r="N445" s="3"/>
      <c r="O445" s="5"/>
      <c r="P445" s="6"/>
      <c r="Q445" s="5"/>
    </row>
    <row r="446" spans="4:17">
      <c r="D446" s="2"/>
      <c r="M446" s="10"/>
      <c r="N446" s="3"/>
      <c r="O446" s="5"/>
      <c r="P446" s="6"/>
      <c r="Q446" s="5"/>
    </row>
    <row r="447" spans="4:17">
      <c r="D447" s="2"/>
      <c r="M447" s="10"/>
      <c r="N447" s="3"/>
      <c r="O447" s="5"/>
      <c r="P447" s="6"/>
      <c r="Q447" s="5"/>
    </row>
    <row r="448" spans="4:17">
      <c r="D448" s="2"/>
      <c r="M448" s="10"/>
      <c r="N448" s="3"/>
      <c r="O448" s="5"/>
      <c r="P448" s="6"/>
      <c r="Q448" s="5"/>
    </row>
    <row r="449" spans="4:17">
      <c r="D449" s="2"/>
      <c r="M449" s="10"/>
      <c r="N449" s="3"/>
      <c r="O449" s="5"/>
      <c r="P449" s="6"/>
      <c r="Q449" s="5"/>
    </row>
    <row r="450" spans="4:17">
      <c r="D450" s="2"/>
      <c r="M450" s="10"/>
      <c r="N450" s="3"/>
      <c r="O450" s="5"/>
      <c r="P450" s="6"/>
      <c r="Q450" s="5"/>
    </row>
    <row r="451" spans="4:17">
      <c r="D451" s="2"/>
      <c r="M451" s="10"/>
      <c r="N451" s="3"/>
      <c r="O451" s="5"/>
      <c r="P451" s="6"/>
      <c r="Q451" s="5"/>
    </row>
    <row r="452" spans="4:17">
      <c r="D452" s="2"/>
      <c r="M452" s="10"/>
      <c r="N452" s="3"/>
      <c r="O452" s="5"/>
      <c r="P452" s="6"/>
      <c r="Q452" s="5"/>
    </row>
    <row r="453" spans="4:17">
      <c r="D453" s="2"/>
      <c r="M453" s="10"/>
      <c r="N453" s="3"/>
      <c r="O453" s="5"/>
      <c r="P453" s="6"/>
      <c r="Q453" s="5"/>
    </row>
    <row r="454" spans="4:17">
      <c r="D454" s="2"/>
      <c r="M454" s="10"/>
      <c r="N454" s="3"/>
      <c r="O454" s="5"/>
      <c r="P454" s="6"/>
      <c r="Q454" s="5"/>
    </row>
    <row r="455" spans="4:17">
      <c r="D455" s="2"/>
      <c r="M455" s="10"/>
      <c r="N455" s="3"/>
      <c r="O455" s="5"/>
      <c r="P455" s="6"/>
      <c r="Q455" s="5"/>
    </row>
    <row r="456" spans="4:17">
      <c r="D456" s="2"/>
      <c r="M456" s="10"/>
      <c r="N456" s="3"/>
      <c r="O456" s="5"/>
      <c r="P456" s="6"/>
      <c r="Q456" s="5"/>
    </row>
    <row r="457" spans="4:17">
      <c r="D457" s="2"/>
      <c r="M457" s="10"/>
      <c r="N457" s="3"/>
      <c r="O457" s="5"/>
      <c r="P457" s="6"/>
      <c r="Q457" s="5"/>
    </row>
    <row r="458" spans="4:17">
      <c r="D458" s="2"/>
      <c r="M458" s="10"/>
      <c r="N458" s="3"/>
      <c r="O458" s="5"/>
      <c r="P458" s="6"/>
      <c r="Q458" s="5"/>
    </row>
    <row r="459" spans="4:17">
      <c r="D459" s="2"/>
      <c r="M459" s="10"/>
      <c r="N459" s="3"/>
      <c r="O459" s="5"/>
      <c r="P459" s="6"/>
      <c r="Q459" s="5"/>
    </row>
    <row r="460" spans="4:17">
      <c r="D460" s="2"/>
      <c r="M460" s="10"/>
      <c r="N460" s="3"/>
      <c r="O460" s="5"/>
      <c r="P460" s="6"/>
      <c r="Q460" s="5"/>
    </row>
    <row r="461" spans="4:17">
      <c r="D461" s="2"/>
      <c r="M461" s="10"/>
      <c r="N461" s="3"/>
      <c r="O461" s="5"/>
      <c r="P461" s="6"/>
      <c r="Q461" s="5"/>
    </row>
    <row r="462" spans="4:17">
      <c r="D462" s="2"/>
      <c r="M462" s="10"/>
      <c r="N462" s="3"/>
      <c r="O462" s="5"/>
      <c r="P462" s="6"/>
      <c r="Q462" s="5"/>
    </row>
    <row r="463" spans="4:17">
      <c r="D463" s="2"/>
      <c r="M463" s="10"/>
      <c r="N463" s="3"/>
      <c r="O463" s="5"/>
      <c r="P463" s="6"/>
      <c r="Q463" s="5"/>
    </row>
    <row r="464" spans="4:17">
      <c r="D464" s="2"/>
      <c r="M464" s="10"/>
      <c r="N464" s="3"/>
      <c r="O464" s="5"/>
      <c r="P464" s="6"/>
      <c r="Q464" s="5"/>
    </row>
    <row r="465" spans="4:17">
      <c r="D465" s="2"/>
      <c r="M465" s="10"/>
      <c r="N465" s="3"/>
      <c r="O465" s="5"/>
      <c r="P465" s="6"/>
      <c r="Q465" s="5"/>
    </row>
    <row r="466" spans="4:17">
      <c r="D466" s="2"/>
      <c r="M466" s="10"/>
      <c r="N466" s="3"/>
      <c r="O466" s="5"/>
      <c r="P466" s="6"/>
      <c r="Q466" s="5"/>
    </row>
    <row r="467" spans="4:17">
      <c r="D467" s="2"/>
      <c r="M467" s="10"/>
      <c r="N467" s="3"/>
      <c r="O467" s="5"/>
      <c r="P467" s="6"/>
      <c r="Q467" s="5"/>
    </row>
    <row r="468" spans="4:17">
      <c r="D468" s="2"/>
      <c r="M468" s="10"/>
      <c r="N468" s="3"/>
      <c r="O468" s="5"/>
      <c r="P468" s="6"/>
      <c r="Q468" s="5"/>
    </row>
    <row r="469" spans="4:17">
      <c r="D469" s="2"/>
      <c r="M469" s="10"/>
      <c r="N469" s="3"/>
      <c r="O469" s="5"/>
      <c r="P469" s="6"/>
      <c r="Q469" s="5"/>
    </row>
    <row r="470" spans="4:17">
      <c r="D470" s="2"/>
      <c r="M470" s="10"/>
      <c r="N470" s="3"/>
      <c r="O470" s="5"/>
      <c r="P470" s="6"/>
      <c r="Q470" s="5"/>
    </row>
    <row r="471" spans="4:17">
      <c r="D471" s="2"/>
      <c r="M471" s="10"/>
      <c r="N471" s="3"/>
      <c r="O471" s="5"/>
      <c r="P471" s="6"/>
      <c r="Q471" s="5"/>
    </row>
    <row r="472" spans="4:17">
      <c r="D472" s="2"/>
      <c r="M472" s="10"/>
      <c r="N472" s="3"/>
      <c r="O472" s="5"/>
      <c r="P472" s="6"/>
      <c r="Q472" s="5"/>
    </row>
    <row r="473" spans="4:17">
      <c r="D473" s="2"/>
      <c r="M473" s="10"/>
      <c r="N473" s="3"/>
      <c r="O473" s="5"/>
      <c r="P473" s="6"/>
      <c r="Q473" s="5"/>
    </row>
    <row r="474" spans="4:17">
      <c r="D474" s="2"/>
      <c r="M474" s="10"/>
      <c r="N474" s="3"/>
      <c r="O474" s="5"/>
      <c r="P474" s="6"/>
      <c r="Q474" s="5"/>
    </row>
    <row r="475" spans="4:17">
      <c r="D475" s="2"/>
      <c r="M475" s="10"/>
      <c r="N475" s="3"/>
      <c r="O475" s="5"/>
      <c r="P475" s="6"/>
      <c r="Q475" s="5"/>
    </row>
    <row r="476" spans="4:17">
      <c r="D476" s="2"/>
      <c r="M476" s="10"/>
      <c r="N476" s="3"/>
      <c r="O476" s="5"/>
      <c r="P476" s="6"/>
      <c r="Q476" s="5"/>
    </row>
    <row r="477" spans="4:17">
      <c r="D477" s="2"/>
      <c r="M477" s="10"/>
      <c r="N477" s="3"/>
      <c r="O477" s="5"/>
      <c r="P477" s="6"/>
      <c r="Q477" s="5"/>
    </row>
    <row r="478" spans="4:17">
      <c r="D478" s="2"/>
      <c r="M478" s="10"/>
      <c r="N478" s="3"/>
      <c r="O478" s="5"/>
      <c r="P478" s="6"/>
      <c r="Q478" s="5"/>
    </row>
    <row r="479" spans="4:17">
      <c r="D479" s="2"/>
      <c r="M479" s="9"/>
      <c r="N479" s="3"/>
      <c r="O479" s="5"/>
      <c r="P479" s="6"/>
      <c r="Q479" s="5"/>
    </row>
    <row r="480" spans="4:17">
      <c r="D480" s="2"/>
      <c r="M480" s="9"/>
      <c r="N480" s="3"/>
      <c r="O480" s="5"/>
      <c r="P480" s="6"/>
      <c r="Q480" s="5"/>
    </row>
    <row r="481" spans="4:17">
      <c r="D481" s="2"/>
      <c r="M481" s="9"/>
      <c r="N481" s="3"/>
      <c r="O481" s="5"/>
      <c r="P481" s="6"/>
      <c r="Q481" s="5"/>
    </row>
    <row r="482" spans="4:17">
      <c r="D482" s="2"/>
      <c r="M482" s="9"/>
      <c r="N482" s="3"/>
      <c r="O482" s="5"/>
      <c r="P482" s="6"/>
      <c r="Q482" s="5"/>
    </row>
    <row r="483" spans="4:17">
      <c r="D483" s="2"/>
      <c r="M483" s="9"/>
      <c r="N483" s="3"/>
      <c r="O483" s="5"/>
      <c r="P483" s="6"/>
      <c r="Q483" s="5"/>
    </row>
    <row r="484" spans="4:17">
      <c r="D484" s="2"/>
      <c r="M484" s="9"/>
      <c r="N484" s="3"/>
      <c r="O484" s="5"/>
      <c r="P484" s="6"/>
      <c r="Q484" s="5"/>
    </row>
    <row r="485" spans="4:17">
      <c r="D485" s="2"/>
      <c r="M485" s="9"/>
      <c r="N485" s="3"/>
      <c r="O485" s="5"/>
      <c r="P485" s="6"/>
      <c r="Q485" s="5"/>
    </row>
    <row r="486" spans="4:17">
      <c r="D486" s="2"/>
      <c r="M486" s="9"/>
      <c r="N486" s="3"/>
      <c r="O486" s="5"/>
      <c r="P486" s="6"/>
      <c r="Q486" s="5"/>
    </row>
    <row r="487" spans="4:17">
      <c r="D487" s="2"/>
      <c r="M487" s="9"/>
      <c r="N487" s="3"/>
      <c r="O487" s="5"/>
      <c r="P487" s="6"/>
      <c r="Q487" s="5"/>
    </row>
    <row r="488" spans="4:17">
      <c r="D488" s="2"/>
      <c r="M488" s="9"/>
      <c r="N488" s="3"/>
      <c r="O488" s="5"/>
      <c r="P488" s="6"/>
      <c r="Q488" s="5"/>
    </row>
    <row r="489" spans="4:17">
      <c r="D489" s="2"/>
      <c r="M489" s="9"/>
      <c r="N489" s="3"/>
      <c r="O489" s="5"/>
      <c r="P489" s="6"/>
      <c r="Q489" s="5"/>
    </row>
    <row r="490" spans="4:17">
      <c r="D490" s="2"/>
      <c r="M490" s="9"/>
      <c r="N490" s="3"/>
      <c r="O490" s="5"/>
      <c r="P490" s="6"/>
      <c r="Q490" s="5"/>
    </row>
    <row r="491" spans="4:17">
      <c r="D491" s="2"/>
      <c r="M491" s="9"/>
      <c r="N491" s="3"/>
      <c r="O491" s="5"/>
      <c r="P491" s="6"/>
      <c r="Q491" s="5"/>
    </row>
    <row r="492" spans="4:17">
      <c r="D492" s="2"/>
      <c r="M492" s="9"/>
      <c r="N492" s="3"/>
      <c r="O492" s="5"/>
      <c r="P492" s="6"/>
      <c r="Q492" s="5"/>
    </row>
    <row r="493" spans="4:17">
      <c r="D493" s="2"/>
      <c r="M493" s="9"/>
      <c r="N493" s="3"/>
      <c r="O493" s="5"/>
      <c r="P493" s="6"/>
      <c r="Q493" s="5"/>
    </row>
    <row r="494" spans="4:17">
      <c r="D494" s="2"/>
      <c r="M494" s="9"/>
      <c r="N494" s="3"/>
      <c r="O494" s="5"/>
      <c r="P494" s="6"/>
      <c r="Q494" s="5"/>
    </row>
    <row r="495" spans="4:17">
      <c r="D495" s="2"/>
      <c r="M495" s="9"/>
      <c r="N495" s="3"/>
      <c r="O495" s="5"/>
      <c r="P495" s="6"/>
      <c r="Q495" s="5"/>
    </row>
    <row r="496" spans="4:17">
      <c r="D496" s="2"/>
      <c r="M496" s="9"/>
      <c r="N496" s="3"/>
      <c r="O496" s="5"/>
      <c r="P496" s="6"/>
      <c r="Q496" s="5"/>
    </row>
    <row r="497" spans="4:17">
      <c r="D497" s="2"/>
      <c r="M497" s="9"/>
      <c r="N497" s="3"/>
      <c r="O497" s="5"/>
      <c r="P497" s="6"/>
      <c r="Q497" s="5"/>
    </row>
    <row r="498" spans="4:17">
      <c r="D498" s="2"/>
      <c r="M498" s="9"/>
      <c r="N498" s="3"/>
      <c r="O498" s="5"/>
      <c r="P498" s="6"/>
      <c r="Q498" s="5"/>
    </row>
    <row r="499" spans="4:17">
      <c r="D499" s="2"/>
      <c r="M499" s="9"/>
      <c r="N499" s="3"/>
      <c r="O499" s="5"/>
      <c r="P499" s="6"/>
      <c r="Q499" s="5"/>
    </row>
    <row r="500" spans="4:17">
      <c r="D500" s="2"/>
      <c r="M500" s="9"/>
      <c r="N500" s="3"/>
      <c r="O500" s="5"/>
      <c r="P500" s="6"/>
      <c r="Q500" s="5"/>
    </row>
    <row r="501" spans="4:17">
      <c r="D501" s="2"/>
      <c r="M501" s="9"/>
      <c r="N501" s="3"/>
      <c r="O501" s="5"/>
      <c r="P501" s="6"/>
      <c r="Q501" s="5"/>
    </row>
    <row r="502" spans="4:17">
      <c r="D502" s="2"/>
      <c r="M502" s="9"/>
      <c r="N502" s="3"/>
      <c r="O502" s="5"/>
      <c r="P502" s="6"/>
      <c r="Q502" s="5"/>
    </row>
    <row r="503" spans="4:17">
      <c r="D503" s="2"/>
      <c r="M503" s="9"/>
      <c r="N503" s="3"/>
      <c r="O503" s="5"/>
      <c r="P503" s="6"/>
      <c r="Q503" s="5"/>
    </row>
    <row r="504" spans="4:17">
      <c r="D504" s="2"/>
      <c r="M504" s="9"/>
      <c r="N504" s="3"/>
      <c r="O504" s="5"/>
      <c r="P504" s="6"/>
      <c r="Q504" s="5"/>
    </row>
    <row r="505" spans="4:17">
      <c r="D505" s="2"/>
      <c r="M505" s="9"/>
      <c r="N505" s="3"/>
      <c r="O505" s="5"/>
      <c r="P505" s="6"/>
      <c r="Q505" s="5"/>
    </row>
    <row r="506" spans="4:17">
      <c r="D506" s="2"/>
      <c r="M506" s="9"/>
      <c r="N506" s="3"/>
      <c r="O506" s="5"/>
      <c r="P506" s="6"/>
      <c r="Q506" s="5"/>
    </row>
    <row r="507" spans="4:17">
      <c r="D507" s="2"/>
      <c r="M507" s="9"/>
      <c r="N507" s="3"/>
      <c r="O507" s="5"/>
      <c r="P507" s="6"/>
      <c r="Q507" s="5"/>
    </row>
    <row r="508" spans="4:17">
      <c r="D508" s="2"/>
      <c r="M508" s="9"/>
      <c r="N508" s="3"/>
      <c r="O508" s="5"/>
      <c r="P508" s="6"/>
      <c r="Q508" s="5"/>
    </row>
    <row r="509" spans="4:17">
      <c r="D509" s="2"/>
      <c r="M509" s="9"/>
      <c r="N509" s="3"/>
      <c r="O509" s="5"/>
      <c r="P509" s="6"/>
      <c r="Q509" s="5"/>
    </row>
    <row r="510" spans="4:17">
      <c r="D510" s="2"/>
      <c r="M510" s="9"/>
      <c r="N510" s="3"/>
      <c r="O510" s="5"/>
      <c r="P510" s="6"/>
      <c r="Q510" s="5"/>
    </row>
    <row r="511" spans="4:17">
      <c r="D511" s="2"/>
      <c r="M511" s="6"/>
      <c r="N511" s="3"/>
      <c r="O511" s="5"/>
      <c r="P511" s="6"/>
      <c r="Q511" s="5"/>
    </row>
    <row r="512" spans="4:17">
      <c r="D512" s="2"/>
      <c r="M512" s="6"/>
      <c r="N512" s="3"/>
      <c r="O512" s="5"/>
      <c r="P512" s="6"/>
      <c r="Q512" s="5"/>
    </row>
    <row r="513" spans="4:17">
      <c r="D513" s="2"/>
      <c r="M513" s="6"/>
      <c r="N513" s="3"/>
      <c r="O513" s="5"/>
      <c r="P513" s="6"/>
      <c r="Q513" s="5"/>
    </row>
    <row r="514" spans="4:17">
      <c r="D514" s="2"/>
      <c r="M514" s="6"/>
      <c r="N514" s="3"/>
      <c r="O514" s="5"/>
      <c r="P514" s="6"/>
      <c r="Q514" s="5"/>
    </row>
    <row r="515" spans="4:17">
      <c r="D515" s="2"/>
      <c r="M515" s="6"/>
      <c r="N515" s="3"/>
      <c r="O515" s="5"/>
      <c r="P515" s="6"/>
      <c r="Q515" s="5"/>
    </row>
    <row r="516" spans="4:17">
      <c r="D516" s="2"/>
      <c r="M516" s="6"/>
      <c r="N516" s="3"/>
      <c r="O516" s="5"/>
      <c r="P516" s="6"/>
      <c r="Q516" s="5"/>
    </row>
    <row r="517" spans="4:17">
      <c r="D517" s="2"/>
      <c r="M517" s="6"/>
      <c r="N517" s="3"/>
      <c r="O517" s="5"/>
      <c r="P517" s="6"/>
      <c r="Q517" s="5"/>
    </row>
    <row r="518" spans="4:17">
      <c r="D518" s="2"/>
      <c r="M518" s="6"/>
      <c r="N518" s="3"/>
      <c r="O518" s="5"/>
      <c r="P518" s="6"/>
      <c r="Q518" s="5"/>
    </row>
    <row r="519" spans="4:17">
      <c r="D519" s="2"/>
      <c r="M519" s="6"/>
      <c r="N519" s="3"/>
      <c r="O519" s="5"/>
      <c r="P519" s="6"/>
      <c r="Q519" s="5"/>
    </row>
    <row r="520" spans="4:17">
      <c r="D520" s="2"/>
      <c r="M520" s="6"/>
      <c r="N520" s="3"/>
      <c r="O520" s="5"/>
      <c r="P520" s="6"/>
      <c r="Q520" s="5"/>
    </row>
    <row r="521" spans="4:17">
      <c r="D521" s="2"/>
      <c r="M521" s="6"/>
      <c r="N521" s="3"/>
      <c r="O521" s="5"/>
      <c r="P521" s="6"/>
      <c r="Q521" s="5"/>
    </row>
    <row r="522" spans="4:17">
      <c r="D522" s="2"/>
      <c r="M522" s="6"/>
      <c r="N522" s="3"/>
      <c r="O522" s="5"/>
      <c r="P522" s="6"/>
      <c r="Q522" s="5"/>
    </row>
    <row r="523" spans="4:17">
      <c r="D523" s="2"/>
      <c r="M523" s="6"/>
      <c r="N523" s="3"/>
      <c r="O523" s="5"/>
      <c r="P523" s="6"/>
      <c r="Q523" s="5"/>
    </row>
    <row r="524" spans="4:17">
      <c r="D524" s="2"/>
      <c r="M524" s="6"/>
      <c r="N524" s="3"/>
      <c r="O524" s="5"/>
      <c r="P524" s="6"/>
      <c r="Q524" s="5"/>
    </row>
    <row r="525" spans="4:17">
      <c r="D525" s="2"/>
      <c r="M525" s="6"/>
      <c r="N525" s="3"/>
      <c r="O525" s="5"/>
      <c r="P525" s="6"/>
      <c r="Q525" s="5"/>
    </row>
    <row r="526" spans="4:17">
      <c r="D526" s="2"/>
      <c r="M526" s="6"/>
      <c r="N526" s="3"/>
      <c r="O526" s="5"/>
      <c r="P526" s="6"/>
      <c r="Q526" s="5"/>
    </row>
    <row r="527" spans="4:17">
      <c r="D527" s="2"/>
      <c r="M527" s="6"/>
      <c r="N527" s="3"/>
      <c r="O527" s="5"/>
      <c r="P527" s="6"/>
      <c r="Q527" s="5"/>
    </row>
    <row r="528" spans="4:17">
      <c r="D528" s="2"/>
      <c r="M528" s="6"/>
      <c r="N528" s="3"/>
      <c r="O528" s="5"/>
      <c r="P528" s="6"/>
      <c r="Q528" s="5"/>
    </row>
    <row r="529" spans="4:17">
      <c r="D529" s="2"/>
      <c r="M529" s="6"/>
      <c r="N529" s="3"/>
      <c r="O529" s="5"/>
      <c r="P529" s="6"/>
      <c r="Q529" s="5"/>
    </row>
    <row r="530" spans="4:17">
      <c r="D530" s="2"/>
      <c r="M530" s="6"/>
      <c r="N530" s="3"/>
      <c r="O530" s="5"/>
      <c r="P530" s="6"/>
      <c r="Q530" s="5"/>
    </row>
    <row r="531" spans="4:17">
      <c r="D531" s="2"/>
      <c r="M531" s="6"/>
      <c r="N531" s="3"/>
      <c r="O531" s="5"/>
      <c r="P531" s="6"/>
      <c r="Q531" s="5"/>
    </row>
    <row r="532" spans="4:17">
      <c r="D532" s="2"/>
      <c r="M532" s="6"/>
      <c r="N532" s="3"/>
      <c r="O532" s="5"/>
      <c r="P532" s="6"/>
      <c r="Q532" s="5"/>
    </row>
    <row r="533" spans="4:17">
      <c r="D533" s="2"/>
      <c r="M533" s="6"/>
      <c r="N533" s="3"/>
      <c r="O533" s="5"/>
      <c r="P533" s="6"/>
      <c r="Q533" s="5"/>
    </row>
    <row r="534" spans="4:17">
      <c r="D534" s="2"/>
      <c r="M534" s="6"/>
      <c r="N534" s="3"/>
      <c r="O534" s="5"/>
      <c r="P534" s="6"/>
      <c r="Q534" s="5"/>
    </row>
    <row r="535" spans="4:17">
      <c r="D535" s="2"/>
      <c r="M535" s="6"/>
      <c r="N535" s="3"/>
      <c r="O535" s="5"/>
      <c r="P535" s="6"/>
      <c r="Q535" s="5"/>
    </row>
    <row r="536" spans="4:17">
      <c r="D536" s="2"/>
      <c r="M536" s="6"/>
      <c r="N536" s="3"/>
      <c r="O536" s="5"/>
      <c r="P536" s="6"/>
      <c r="Q536" s="5"/>
    </row>
    <row r="537" spans="4:17">
      <c r="D537" s="2"/>
      <c r="M537" s="6"/>
      <c r="N537" s="3"/>
      <c r="O537" s="5"/>
      <c r="P537" s="6"/>
      <c r="Q537" s="5"/>
    </row>
    <row r="538" spans="4:17">
      <c r="D538" s="2"/>
      <c r="M538" s="6"/>
      <c r="N538" s="3"/>
      <c r="O538" s="5"/>
      <c r="P538" s="6"/>
      <c r="Q538" s="5"/>
    </row>
    <row r="539" spans="4:17">
      <c r="D539" s="2"/>
      <c r="M539" s="6"/>
      <c r="N539" s="3"/>
      <c r="O539" s="5"/>
      <c r="P539" s="6"/>
      <c r="Q539" s="5"/>
    </row>
    <row r="540" spans="4:17">
      <c r="D540" s="2"/>
      <c r="M540" s="6"/>
      <c r="N540" s="3"/>
      <c r="O540" s="5"/>
      <c r="P540" s="6"/>
      <c r="Q540" s="5"/>
    </row>
    <row r="541" spans="4:17">
      <c r="D541" s="2"/>
      <c r="M541" s="6"/>
      <c r="N541" s="3"/>
      <c r="O541" s="5"/>
      <c r="P541" s="6"/>
      <c r="Q541" s="5"/>
    </row>
    <row r="542" spans="4:17">
      <c r="D542" s="2"/>
      <c r="M542" s="6"/>
      <c r="N542" s="3"/>
      <c r="O542" s="5"/>
      <c r="P542" s="6"/>
      <c r="Q542" s="5"/>
    </row>
    <row r="543" spans="4:17">
      <c r="D543" s="2"/>
      <c r="M543" s="6"/>
      <c r="N543" s="3"/>
      <c r="O543" s="5"/>
      <c r="P543" s="6"/>
      <c r="Q543" s="5"/>
    </row>
    <row r="544" spans="4:17">
      <c r="D544" s="2"/>
      <c r="M544" s="6"/>
      <c r="N544" s="3"/>
      <c r="O544" s="5"/>
      <c r="P544" s="6"/>
      <c r="Q544" s="5"/>
    </row>
    <row r="545" spans="4:17">
      <c r="D545" s="2"/>
      <c r="M545" s="6"/>
      <c r="N545" s="3"/>
      <c r="O545" s="5"/>
      <c r="P545" s="6"/>
      <c r="Q545" s="5"/>
    </row>
    <row r="546" spans="4:17">
      <c r="D546" s="2"/>
      <c r="M546" s="6"/>
      <c r="N546" s="3"/>
      <c r="O546" s="5"/>
      <c r="P546" s="6"/>
      <c r="Q546" s="5"/>
    </row>
    <row r="547" spans="4:17">
      <c r="D547" s="2"/>
      <c r="M547" s="6"/>
      <c r="N547" s="3"/>
      <c r="O547" s="5"/>
      <c r="P547" s="6"/>
      <c r="Q547" s="5"/>
    </row>
    <row r="548" spans="4:17">
      <c r="D548" s="2"/>
      <c r="M548" s="6"/>
      <c r="N548" s="3"/>
      <c r="O548" s="5"/>
      <c r="P548" s="6"/>
      <c r="Q548" s="5"/>
    </row>
    <row r="549" spans="4:17">
      <c r="D549" s="2"/>
      <c r="M549" s="6"/>
      <c r="N549" s="3"/>
      <c r="O549" s="5"/>
      <c r="P549" s="6"/>
      <c r="Q549" s="5"/>
    </row>
    <row r="550" spans="4:17">
      <c r="D550" s="2"/>
      <c r="M550" s="6"/>
      <c r="N550" s="3"/>
      <c r="O550" s="5"/>
      <c r="P550" s="6"/>
      <c r="Q550" s="5"/>
    </row>
    <row r="551" spans="4:17">
      <c r="D551" s="2"/>
      <c r="M551" s="6"/>
      <c r="N551" s="3"/>
      <c r="O551" s="5"/>
      <c r="P551" s="6"/>
      <c r="Q551" s="5"/>
    </row>
    <row r="552" spans="4:17">
      <c r="D552" s="2"/>
      <c r="M552" s="6"/>
      <c r="O552" s="5"/>
      <c r="P552" s="6"/>
      <c r="Q552" s="5"/>
    </row>
    <row r="553" spans="4:17">
      <c r="D553" s="2"/>
      <c r="M553" s="6"/>
      <c r="O553" s="5"/>
      <c r="P553" s="6"/>
      <c r="Q553" s="5"/>
    </row>
    <row r="554" spans="4:17">
      <c r="D554" s="2"/>
      <c r="M554" s="6"/>
      <c r="O554" s="5"/>
      <c r="P554" s="6"/>
      <c r="Q554" s="5"/>
    </row>
    <row r="555" spans="4:17">
      <c r="D555" s="2"/>
      <c r="M555" s="6"/>
      <c r="O555" s="5"/>
      <c r="P555" s="6"/>
      <c r="Q555" s="5"/>
    </row>
    <row r="556" spans="4:17">
      <c r="D556" s="2"/>
      <c r="M556" s="6"/>
      <c r="O556" s="4"/>
      <c r="Q556" s="4"/>
    </row>
    <row r="557" spans="4:17">
      <c r="D557" s="2"/>
      <c r="M557" s="6"/>
      <c r="O557" s="4"/>
      <c r="Q557" s="4"/>
    </row>
  </sheetData>
  <autoFilter ref="A1:T322" xr:uid="{EE3607AA-7B29-43B5-95A9-CE4EA2567111}">
    <sortState xmlns:xlrd2="http://schemas.microsoft.com/office/spreadsheetml/2017/richdata2" ref="A2:T322">
      <sortCondition ref="D1"/>
    </sortState>
  </autoFilter>
  <phoneticPr fontId="3" type="noConversion"/>
  <dataValidations count="12">
    <dataValidation type="list" allowBlank="1" showInputMessage="1" showErrorMessage="1" sqref="G559:G561" xr:uid="{6EBD08F4-BE3F-4E97-AEA6-A60774C9F94E}">
      <formula1>"Vast,Vloeistof,Gas,Poeder,Granulaat,Pasta,Anders"</formula1>
    </dataValidation>
    <dataValidation type="list" allowBlank="1" showInputMessage="1" showErrorMessage="1" sqref="H2:H7" xr:uid="{B8421C10-45FF-429B-92E8-39C547303ABD}">
      <formula1>"Zwart,Wit,Rood,Geel,Blauw,Groen,Oranje,Paars,Bruin,Anders"</formula1>
    </dataValidation>
    <dataValidation type="list" allowBlank="1" showInputMessage="1" showErrorMessage="1" sqref="L2:L338 I2:K490" xr:uid="{28C97646-6A1E-499D-AC50-F216785397F1}">
      <formula1>"Ja,Nee"</formula1>
    </dataValidation>
    <dataValidation type="list" allowBlank="1" showInputMessage="1" showErrorMessage="1" sqref="P2:P431" xr:uid="{E86B2E08-A1C1-4052-B373-D6B958611B00}">
      <formula1>"˄,˅,≈,—,∩,U,nvt"</formula1>
    </dataValidation>
    <dataValidation type="list" allowBlank="1" showInputMessage="1" showErrorMessage="1" sqref="G2:G7 G17:G18" xr:uid="{C13F0F33-0119-4367-AD1B-81F7F5DCB42D}">
      <formula1>"Vast,Vloeistof,Gas,Poeder,Granulaat,Pasta,Brokken,Anders"</formula1>
    </dataValidation>
    <dataValidation type="list" allowBlank="1" showInputMessage="1" showErrorMessage="1" sqref="G8:G14 G32 G35:G41" xr:uid="{4BC97B0D-432D-4AC5-B8FA-52B194DEDA09}">
      <formula1>"Vast,Vloeistof,Gas,Poeder,Granulaat,Pasta,Brokken,Flakes,Anders"</formula1>
    </dataValidation>
    <dataValidation type="list" allowBlank="1" showInputMessage="1" showErrorMessage="1" sqref="H8:H12 H17:H41 H322:H557" xr:uid="{E45ECA8D-822F-4267-A301-9CECD7EAE528}">
      <formula1>"Zwart,Wit,Rood,Geel,Blauw,Groen,Oranje,Paars,Bruin,Mix,Anders"</formula1>
    </dataValidation>
    <dataValidation type="list" allowBlank="1" showInputMessage="1" showErrorMessage="1" sqref="H13:H16" xr:uid="{C1AE7A73-363A-4C2C-8C94-76BF2009FA24}">
      <formula1>"Zwart,Wit,Grijs,Rood,Geel,Blauw,Groen,Oranje,Paars,Bruin,Mix,Anders"</formula1>
    </dataValidation>
    <dataValidation type="list" allowBlank="1" showInputMessage="1" showErrorMessage="1" sqref="G15:G16" xr:uid="{1529A878-2A6E-4E48-A120-390E2896B603}">
      <formula1>"Vloeistof,Gas,Poeder,Granulaat,Pasta,Brokken,Flakes,Vezels,Anders"</formula1>
    </dataValidation>
    <dataValidation type="list" allowBlank="1" showInputMessage="1" showErrorMessage="1" sqref="G19:G31 G33:G34 G550:G558" xr:uid="{C2059A04-054C-4485-9364-746F2D2255AF}">
      <formula1>"Vast,Vloeistof,Gas,Poeder,Granulaat,Vezels,Pasta,Brokken,Anders"</formula1>
    </dataValidation>
    <dataValidation type="list" allowBlank="1" showInputMessage="1" showErrorMessage="1" sqref="G42:G549" xr:uid="{B0D269B1-F1F0-484E-9072-E3BCEA7CA259}">
      <formula1>"Vast,Vloeistof,Gas,Poeder,Granulaat,Pasta,Knikker,Brokken,Flakes,Anders"</formula1>
    </dataValidation>
    <dataValidation type="list" allowBlank="1" showInputMessage="1" showErrorMessage="1" sqref="H42:H321" xr:uid="{BCB963F0-2EF9-48B5-B132-9A3B3FA37A68}">
      <formula1>"Zwart,Wit,Rood,Geel,Blauw,Groen,Oranje,Grijs,Paars,Bruin,Mix,Anders"</formula1>
    </dataValidation>
  </dataValidations>
  <hyperlinks>
    <hyperlink ref="B7" r:id="rId1" display="pionus://O_820153/" xr:uid="{BBBE7482-CECE-45D3-919B-7BF187894693}"/>
    <hyperlink ref="B8" r:id="rId2" display="pionus://O_820153/" xr:uid="{4D8467D9-511D-4EFF-8AC1-834A99E7061B}"/>
    <hyperlink ref="S7" r:id="rId3" display="810668" xr:uid="{833E1ACE-ABA0-4B01-B2C9-82EB05FB4B56}"/>
    <hyperlink ref="S8" r:id="rId4" display="810668" xr:uid="{ACF0713F-DFBF-4C63-9691-C24D786FA7C5}"/>
    <hyperlink ref="B6" r:id="rId5" display="820132" xr:uid="{EED7BCF2-4B49-4DBD-B10C-644C58B5392E}"/>
    <hyperlink ref="B2" r:id="rId6" display="811335" xr:uid="{B256CC97-B2B0-4B5A-AF6C-A010E26AFF48}"/>
    <hyperlink ref="B9" r:id="rId7" display="720271" xr:uid="{6B9D6747-9D14-41ED-83B3-0777FBCC5B42}"/>
    <hyperlink ref="B10" r:id="rId8" display="720271" xr:uid="{56ADFABD-7E24-4ACA-A094-40ADCB49D55D}"/>
    <hyperlink ref="B11" r:id="rId9" display="720455" xr:uid="{B53B9837-0458-4090-AC30-07C01C2AED92}"/>
    <hyperlink ref="B12" r:id="rId10" display="pionus://Q_720659/" xr:uid="{4587A1CF-6DC0-4A35-9F29-EFC74836C17E}"/>
    <hyperlink ref="B13" r:id="rId11" display="pionus://Q_720659/" xr:uid="{C4FB339D-64C6-437E-BDF7-D0E952C5A6FE}"/>
    <hyperlink ref="B14" r:id="rId12" display="pionus://O_820564/" xr:uid="{AAFAD953-6369-4B8F-8D3E-08F00CBAAC29}"/>
    <hyperlink ref="S14" r:id="rId13" display="820473" xr:uid="{45E45246-6F71-4CF4-8D66-B22F1ECC1295}"/>
    <hyperlink ref="S15" r:id="rId14" display="820473" xr:uid="{6C98C45F-16E2-4D0A-8A25-BABD029D80F7}"/>
    <hyperlink ref="B15" r:id="rId15" display="pionus://O_820564/" xr:uid="{2C34F945-EEAB-4AB3-814B-6D105BC1C42C}"/>
    <hyperlink ref="B3" r:id="rId16" display="810937" xr:uid="{04EB74A4-BB41-4CA1-964E-222DD0A09574}"/>
    <hyperlink ref="B14:B15" r:id="rId17" display="810937" xr:uid="{A35B7B4A-4DC9-4E25-913C-16050D9EF97E}"/>
    <hyperlink ref="B16" r:id="rId18" display="720986" xr:uid="{A2FC99C8-5D6C-443E-8707-B60987FE9D17}"/>
    <hyperlink ref="B22" r:id="rId19" display="720100" xr:uid="{9776AA57-62D6-4388-95BA-A5186726D882}"/>
    <hyperlink ref="B23" r:id="rId20" display="720184" xr:uid="{B6D14D34-2101-42AB-ACB5-C5794F405CA5}"/>
    <hyperlink ref="B24" r:id="rId21" display="pionus://Q_720184/" xr:uid="{A1C0AA0B-7797-4A33-9A85-9A75C23807B0}"/>
    <hyperlink ref="B25" r:id="rId22" display="pionus://Q_721153/" xr:uid="{DA26A73F-E56B-4DA5-89C5-029DCD70E381}"/>
    <hyperlink ref="B26" r:id="rId23" display="721312" xr:uid="{D46888F6-DFFC-4800-889A-22CA81659444}"/>
    <hyperlink ref="B27:B28" r:id="rId24" display="721312" xr:uid="{16A732C5-2A4B-479E-9A83-DDB1586E6F90}"/>
    <hyperlink ref="B29" r:id="rId25" display="712214" xr:uid="{5ACDDE46-51C7-48D0-A987-95F93DFA8C40}"/>
    <hyperlink ref="B31" r:id="rId26" display="pionus://Q_720702/" xr:uid="{9C7EF290-C03B-4A9F-92B3-1B3F9BE57B5A}"/>
    <hyperlink ref="B31:B34" r:id="rId27" display="pionus://Q_720702/" xr:uid="{4C444F77-BE27-4CA0-8F34-48D4B10C8539}"/>
    <hyperlink ref="B36" r:id="rId28" display="721917" xr:uid="{2263C1E0-9053-47B1-89F6-6682EAC73D6F}"/>
    <hyperlink ref="B37" r:id="rId29" display="820297" xr:uid="{E5208B36-7727-4E36-A0F2-CCD6F30B6312}"/>
    <hyperlink ref="B38" r:id="rId30" display="721585" xr:uid="{4B61C85D-6CB4-4E8D-B2F7-257A328E1177}"/>
    <hyperlink ref="B30" r:id="rId31" display="pionus://Q_721398/" xr:uid="{319D241C-EC89-4AFF-B4CE-3E17EA41F3C6}"/>
    <hyperlink ref="B39:B40" r:id="rId32" display="pionus://Q_721398/" xr:uid="{18F61B98-7450-404D-ABD5-E9C93F4B860A}"/>
    <hyperlink ref="B39" r:id="rId33" display="pionus://Q_722153/" xr:uid="{42DD02AC-894F-47D4-AC97-72922BABCF06}"/>
    <hyperlink ref="B40" r:id="rId34" display="pionus://Q_722116/" xr:uid="{FCB99A8B-1F38-4F0D-820D-D9C7B8F35616}"/>
    <hyperlink ref="B41" r:id="rId35" display="801043" xr:uid="{20461CA2-8C67-436B-B258-B45A9EFD8581}"/>
    <hyperlink ref="B42" r:id="rId36" display="720917" xr:uid="{040A29A5-926E-4998-95E8-4EF7B449570D}"/>
    <hyperlink ref="B43" r:id="rId37" display="720917" xr:uid="{455FED6E-4599-4583-951A-48A34FF9E2A9}"/>
    <hyperlink ref="B44" r:id="rId38" display="720917" xr:uid="{7BED8FF9-3E0D-426C-AAFA-6869AE13F353}"/>
    <hyperlink ref="B45" r:id="rId39" display="722247" xr:uid="{FBFD6DDE-F185-431F-9694-F18B537D391F}"/>
    <hyperlink ref="B46" r:id="rId40" display="722247" xr:uid="{BF88588F-0E94-4C4D-95DB-4B6876E55829}"/>
    <hyperlink ref="B47" r:id="rId41" display="pionus://Q_730174/" xr:uid="{74A3D3E2-0F3C-4EF1-9E56-85A69063687A}"/>
    <hyperlink ref="B49" r:id="rId42" display="721553" xr:uid="{45122932-CF7A-405A-8AE5-309E8F4F5A29}"/>
    <hyperlink ref="B50" r:id="rId43" display="721553" xr:uid="{366787A1-20F1-4CDE-80FB-CB529AD09CD6}"/>
    <hyperlink ref="B51" r:id="rId44" display="730638" xr:uid="{AE9717CF-02FC-454B-B2F7-E8B99673F5B3}"/>
    <hyperlink ref="B48" r:id="rId45" display="821163" xr:uid="{4B07ED62-CA78-4E9A-957E-CB89393BF229}"/>
    <hyperlink ref="B52" r:id="rId46" display="pionus://O_830621/" xr:uid="{AE711062-536C-4E10-AF37-85D4E5D73101}"/>
    <hyperlink ref="B53" r:id="rId47" display="pionus://Q_730723/" xr:uid="{21DAE589-CF76-476A-9610-5A2C584182FE}"/>
    <hyperlink ref="B54:B55" r:id="rId48" display="pionus://Q_730723/" xr:uid="{9F9C7FA5-261F-43DD-9229-E7CADD2E8E89}"/>
    <hyperlink ref="B56:B58" r:id="rId49" display="pionus://Q_730723/" xr:uid="{1B11C80E-4A04-48CD-A95E-C2E32601F127}"/>
    <hyperlink ref="B57" r:id="rId50" display="pionus://Q_731437/" xr:uid="{D4B7B53D-288B-4C01-A41C-F461547D9042}"/>
    <hyperlink ref="B58" r:id="rId51" display="pionus://Q_731437/" xr:uid="{334E678E-2CE6-4DE4-82FF-A62C23046152}"/>
    <hyperlink ref="B56" r:id="rId52" display="pionus://Q_731296/" xr:uid="{F4B4FF5B-3B12-4130-826D-A9DE46EC1767}"/>
    <hyperlink ref="B59:B60" r:id="rId53" display="pionus://Q_730723/" xr:uid="{DDA6C32F-BF01-4085-BA5E-42E701EB668E}"/>
    <hyperlink ref="B59" r:id="rId54" display="pionus://Q_730678/" xr:uid="{BF2C6999-B610-4313-9619-46B20F870A26}"/>
    <hyperlink ref="B60" r:id="rId55" display="pionus://Q_730678/" xr:uid="{CE8411C7-5534-4FD3-87BF-0D4B91D10BF4}"/>
    <hyperlink ref="B61" r:id="rId56" display="pionus://O_830821/" xr:uid="{F458BC49-ABCB-41EE-A0B3-B5E306074C8A}"/>
    <hyperlink ref="B62" r:id="rId57" display="pionus://O_831066/" xr:uid="{E8B73D79-1312-4D70-94E5-0D1094F3D5E8}"/>
    <hyperlink ref="B63" r:id="rId58" display="pionus://O_831250/" xr:uid="{FB5D05F5-0ECD-487F-A1F7-7CED76C18393}"/>
    <hyperlink ref="B64:B65" r:id="rId59" display="pionus://O_831250/" xr:uid="{CA7F091A-BF55-41F5-9FDB-79AB5E82C396}"/>
    <hyperlink ref="B66" r:id="rId60" display="pionus://O_831250/" xr:uid="{7701E425-6EEC-4B0E-AEA5-153687304F6C}"/>
    <hyperlink ref="B69" r:id="rId61" display="pionus://O_831250/" xr:uid="{441D8909-5B48-4007-A57B-395F0F3AAAFF}"/>
    <hyperlink ref="B67:B68" r:id="rId62" display="pionus://O_831250/" xr:uid="{30B79E5F-4B44-4AEB-B5F7-3736B897D5C3}"/>
    <hyperlink ref="B70:B71" r:id="rId63" display="pionus://O_831250/" xr:uid="{8C9F7045-9705-44E7-AD01-4A4E029BDF6F}"/>
    <hyperlink ref="B72" r:id="rId64" display="pionus://O_831240/" xr:uid="{8E11DBB8-96ED-4641-A6D0-5526CADBC009}"/>
    <hyperlink ref="B73" r:id="rId65" display="pionus://O_831240/" xr:uid="{70A0EB1E-BEA5-453E-AD93-0B9831DA3AAE}"/>
    <hyperlink ref="B74" r:id="rId66" display="pionus://O_840215/" xr:uid="{B8679A82-687C-4807-89E6-18B4E8F260A3}"/>
    <hyperlink ref="B75" r:id="rId67" display="pionus://O_840110/" xr:uid="{F21644E2-639B-4D92-82D5-A1674BD6E0AE}"/>
    <hyperlink ref="B76" r:id="rId68" display="pionus://Q_732136/" xr:uid="{5C95E0C3-9873-4E70-A893-6F20DC1EF34A}"/>
    <hyperlink ref="B77" r:id="rId69" display="pionus://Q_732169/" xr:uid="{B45D72D4-2C9C-41C3-A6C9-AAF33DB87328}"/>
    <hyperlink ref="B78:B81" r:id="rId70" display="pionus://Q_732169/" xr:uid="{8E4A885E-1661-432D-A258-159F9F3A9428}"/>
    <hyperlink ref="B82" r:id="rId71" display="pionus://O_831250/" xr:uid="{B445CABD-F7FF-4ED7-B9FE-B4B4240826E0}"/>
    <hyperlink ref="B83" r:id="rId72" display="pionus://O_831250/" xr:uid="{51C27A4D-E533-4124-B3F5-BA23CE9E18E7}"/>
    <hyperlink ref="B84" r:id="rId73" display="740870" xr:uid="{67C52663-5BAB-4AE1-BFDF-7542ECA2A98F}"/>
    <hyperlink ref="B85" r:id="rId74" display="pionus://O_840587/" xr:uid="{5FD7F492-71C6-47E2-B0BB-220097E3964E}"/>
    <hyperlink ref="B86" r:id="rId75" display="pionus://O_840587/" xr:uid="{2E7A3DF6-DB0C-4E4F-BC68-8E146E05ECE1}"/>
    <hyperlink ref="B87" r:id="rId76" display="pionus://Q_741146/" xr:uid="{52719042-6D08-4C12-9549-9C75E427DBDA}"/>
    <hyperlink ref="B88" r:id="rId77" display="pionus://Q_741113/" xr:uid="{A9F73073-99A8-49D7-879E-49CE63C55828}"/>
    <hyperlink ref="B89" r:id="rId78" display="pionus://Q_741113/" xr:uid="{C20EF03B-40FB-4A2A-A217-1A981A84B773}"/>
    <hyperlink ref="B90" r:id="rId79" display="pionus://Q_741113/" xr:uid="{89B72E3C-3A6C-4AFB-AE65-6656B5FAF55F}"/>
    <hyperlink ref="B91" r:id="rId80" display="pionus://Q_741113/" xr:uid="{4CAAFC8E-72A8-411D-A506-2F56ED85662B}"/>
    <hyperlink ref="B92" r:id="rId81" display="740659" xr:uid="{1E53A979-EDFE-4D98-B735-07A3D5DD3987}"/>
    <hyperlink ref="B93" r:id="rId82" display="pionus://O_840769/" xr:uid="{C5F181BB-7B96-4143-B010-F4400B7E82EB}"/>
    <hyperlink ref="B94" r:id="rId83" display="741416" xr:uid="{4B64FCA6-E555-4BA5-92D1-F26F311E8405}"/>
    <hyperlink ref="B95" r:id="rId84" display="741416" xr:uid="{810E003F-4C6B-4314-B869-B68174D88402}"/>
    <hyperlink ref="B96" r:id="rId85" display="840384" xr:uid="{211E35B3-A59D-4553-B253-A179EB63F5DD}"/>
    <hyperlink ref="B97" r:id="rId86" display="742386" xr:uid="{BCF89E39-CE18-463A-B7EB-0D881B13FBEA}"/>
    <hyperlink ref="B98" r:id="rId87" display="750087" xr:uid="{039F7289-B3F1-4FF2-B63E-4292E1DD6460}"/>
    <hyperlink ref="B99" r:id="rId88" display="750087" xr:uid="{3F1E5298-757C-4BE0-AD30-C5E1F3C54DD5}"/>
    <hyperlink ref="B100" r:id="rId89" display="850488" xr:uid="{B97F02C1-B579-4F13-AC21-AA715CEE4AB0}"/>
    <hyperlink ref="B101" r:id="rId90" display="751152" xr:uid="{B0C2A90A-9313-4244-AFC7-5202859C8485}"/>
    <hyperlink ref="B102" r:id="rId91" display="751152" xr:uid="{B5787D63-AF21-4E01-A8FC-5AC4C0CA5FEE}"/>
    <hyperlink ref="B103" r:id="rId92" display="850551" xr:uid="{BD53034C-5835-4488-842E-5EDC25696A22}"/>
    <hyperlink ref="B104" r:id="rId93" display="850551" xr:uid="{F6D31684-2980-4CC2-BA85-A81C7FAE8B2D}"/>
    <hyperlink ref="B105" r:id="rId94" display="850551" xr:uid="{F4DD9AC3-8025-4545-B1D1-0DF5397A9ECA}"/>
    <hyperlink ref="B106" r:id="rId95" display="751166" xr:uid="{12870F6E-161E-467F-B27D-70A633935549}"/>
    <hyperlink ref="B107" r:id="rId96" display="751152" xr:uid="{D1885BEA-DD63-4D59-8D56-EA2858F8C092}"/>
    <hyperlink ref="B108" r:id="rId97" display="pionus://O_860066/" xr:uid="{02E1E2A1-D7A8-401E-9C93-E2F08256ED8E}"/>
  </hyperlinks>
  <pageMargins left="0.7" right="0.7" top="0.75" bottom="0.75" header="0.3" footer="0.3"/>
  <pageSetup paperSize="9" orientation="portrait" r:id="rId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6BA8-4B91-4F8B-A4F4-D9ADE3E151D7}">
  <dimension ref="A1:D28"/>
  <sheetViews>
    <sheetView topLeftCell="A5" zoomScale="160" zoomScaleNormal="160" workbookViewId="0">
      <selection activeCell="G14" sqref="G14"/>
    </sheetView>
  </sheetViews>
  <sheetFormatPr defaultRowHeight="14.5"/>
  <cols>
    <col min="1" max="1" width="30.1796875" bestFit="1" customWidth="1"/>
    <col min="2" max="2" width="5.81640625" bestFit="1" customWidth="1"/>
    <col min="3" max="3" width="16.54296875" bestFit="1" customWidth="1"/>
    <col min="4" max="4" width="20.453125" bestFit="1" customWidth="1"/>
  </cols>
  <sheetData>
    <row r="1" spans="1:4">
      <c r="A1" t="s">
        <v>209</v>
      </c>
    </row>
    <row r="3" spans="1:4">
      <c r="A3" t="s">
        <v>210</v>
      </c>
      <c r="B3" t="s">
        <v>211</v>
      </c>
      <c r="C3" t="s">
        <v>212</v>
      </c>
      <c r="D3" t="s">
        <v>213</v>
      </c>
    </row>
    <row r="4" spans="1:4">
      <c r="A4" t="s">
        <v>214</v>
      </c>
      <c r="B4">
        <f>SUM(C4:D4)</f>
        <v>9</v>
      </c>
      <c r="C4">
        <v>4</v>
      </c>
      <c r="D4">
        <v>5</v>
      </c>
    </row>
    <row r="5" spans="1:4">
      <c r="A5" t="s">
        <v>215</v>
      </c>
    </row>
    <row r="7" spans="1:4">
      <c r="A7" t="s">
        <v>216</v>
      </c>
      <c r="B7" t="s">
        <v>211</v>
      </c>
      <c r="C7" t="s">
        <v>88</v>
      </c>
      <c r="D7" t="s">
        <v>0</v>
      </c>
    </row>
    <row r="8" spans="1:4">
      <c r="A8" t="s">
        <v>217</v>
      </c>
      <c r="B8">
        <f>SUM(C8:D8)</f>
        <v>22</v>
      </c>
      <c r="C8">
        <v>18</v>
      </c>
      <c r="D8">
        <v>4</v>
      </c>
    </row>
    <row r="9" spans="1:4">
      <c r="A9" t="s">
        <v>218</v>
      </c>
    </row>
    <row r="11" spans="1:4">
      <c r="A11" t="s">
        <v>219</v>
      </c>
      <c r="B11" t="s">
        <v>211</v>
      </c>
      <c r="C11" t="s">
        <v>220</v>
      </c>
      <c r="D11" t="s">
        <v>221</v>
      </c>
    </row>
    <row r="12" spans="1:4">
      <c r="B12">
        <f>SUM(C12:D12)</f>
        <v>23</v>
      </c>
      <c r="C12">
        <v>20</v>
      </c>
      <c r="D12">
        <v>3</v>
      </c>
    </row>
    <row r="16" spans="1:4">
      <c r="A16" t="s">
        <v>222</v>
      </c>
      <c r="C16" t="s">
        <v>223</v>
      </c>
      <c r="D16" t="s">
        <v>224</v>
      </c>
    </row>
    <row r="17" spans="1:4" ht="15" thickBot="1">
      <c r="B17">
        <f>SUM(C18:D22)</f>
        <v>5</v>
      </c>
      <c r="C17">
        <f>SUM(C18:C28)</f>
        <v>2</v>
      </c>
      <c r="D17">
        <f>SUM(D18:D28)</f>
        <v>3</v>
      </c>
    </row>
    <row r="18" spans="1:4">
      <c r="A18" s="18" t="s">
        <v>225</v>
      </c>
      <c r="D18">
        <v>1</v>
      </c>
    </row>
    <row r="19" spans="1:4">
      <c r="A19" s="19" t="s">
        <v>226</v>
      </c>
      <c r="C19">
        <v>1</v>
      </c>
    </row>
    <row r="20" spans="1:4">
      <c r="A20" s="19" t="s">
        <v>227</v>
      </c>
      <c r="D20">
        <v>1</v>
      </c>
    </row>
    <row r="21" spans="1:4">
      <c r="A21" s="19" t="s">
        <v>228</v>
      </c>
      <c r="C21">
        <v>1</v>
      </c>
    </row>
    <row r="22" spans="1:4">
      <c r="A22" s="19" t="s">
        <v>229</v>
      </c>
      <c r="D22">
        <v>1</v>
      </c>
    </row>
    <row r="23" spans="1:4">
      <c r="A23" s="19"/>
    </row>
    <row r="24" spans="1:4">
      <c r="A24" s="19"/>
    </row>
    <row r="25" spans="1:4">
      <c r="A25" s="19"/>
    </row>
    <row r="26" spans="1:4">
      <c r="A26" s="19"/>
    </row>
    <row r="27" spans="1:4">
      <c r="A27" s="19"/>
    </row>
    <row r="28" spans="1:4" ht="15" thickBot="1">
      <c r="A28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86C4-FD25-4571-BD84-346D37EBAA97}">
  <sheetPr>
    <pageSetUpPr fitToPage="1"/>
  </sheetPr>
  <dimension ref="A1"/>
  <sheetViews>
    <sheetView zoomScale="70" zoomScaleNormal="70" workbookViewId="0">
      <selection activeCell="F47" sqref="F47"/>
    </sheetView>
  </sheetViews>
  <sheetFormatPr defaultRowHeight="14.5"/>
  <sheetData/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2</vt:i4>
      </vt:variant>
    </vt:vector>
  </HeadingPairs>
  <TitlesOfParts>
    <vt:vector size="5" baseType="lpstr">
      <vt:lpstr>Blad1</vt:lpstr>
      <vt:lpstr>Blad2</vt:lpstr>
      <vt:lpstr>Blad3</vt:lpstr>
      <vt:lpstr>Blad2!Afdrukbereik</vt:lpstr>
      <vt:lpstr>Blad3!Afdrukbereik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Mulder</dc:creator>
  <cp:lastModifiedBy>Daan Mulder</cp:lastModifiedBy>
  <cp:lastPrinted>2024-06-14T10:54:14Z</cp:lastPrinted>
  <dcterms:created xsi:type="dcterms:W3CDTF">2022-03-02T13:52:57Z</dcterms:created>
  <dcterms:modified xsi:type="dcterms:W3CDTF">2026-02-13T08:05:49Z</dcterms:modified>
</cp:coreProperties>
</file>